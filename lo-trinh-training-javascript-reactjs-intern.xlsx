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00" firstSheet="2" activeTab="2"/>
  </bookViews>
  <sheets>
    <sheet name="BẮT ĐẦU" sheetId="1" r:id="rId1"/>
    <sheet name="TIẾN ĐỘ 32 BUỔI" sheetId="2" r:id="rId2"/>
    <sheet name="01 JS NỀN TẢNG" sheetId="3" r:id="rId3"/>
    <sheet name="02 JS TRÌNH DUYỆT" sheetId="4" r:id="rId4"/>
    <sheet name="04 REACT ỨNG DỤNG" sheetId="6" r:id="rId5"/>
    <sheet name="03 REACT NỀN TẢNG" sheetId="5" r:id="rId6"/>
    <sheet name="NĂNG LỰC" sheetId="7" r:id="rId7"/>
    <sheet name="ĐÁNH GIÁ" sheetId="8" r:id="rId8"/>
    <sheet name="TỰ SEARCH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<sst xmlns="http://schemas.openxmlformats.org/spreadsheetml/2006/main" count="1590" uniqueCount="815">
  <si>
    <t>JAVASCRIPT → REACTJS</t>
  </si>
  <si>
    <t>Lộ trình training intern · 32 buổi · 8 tuần · tập trung thực hành, evidence và code review</t>
  </si>
  <si>
    <t>TỔNG BUỔI</t>
  </si>
  <si>
    <t>ĐÃ HOÀN THÀNH</t>
  </si>
  <si>
    <t>TIẾN ĐỘ</t>
  </si>
  <si>
    <t>ĐIỂM TRUNG BÌNH</t>
  </si>
  <si>
    <t>TIẾN ĐỘ THEO GIAI ĐOẠN</t>
  </si>
  <si>
    <t>Giai đoạn</t>
  </si>
  <si>
    <t>Kế hoạch</t>
  </si>
  <si>
    <t>Hoàn thành</t>
  </si>
  <si>
    <t>Tiến độ</t>
  </si>
  <si>
    <t>JS nền tảng</t>
  </si>
  <si>
    <t>JS trên trình duyệt</t>
  </si>
  <si>
    <t>React nền tảng</t>
  </si>
  <si>
    <t>React ứng dụng</t>
  </si>
  <si>
    <t>CÁCH TRIỂN KHAI</t>
  </si>
  <si>
    <t>01 · TRƯỚC BUỔI HỌC</t>
  </si>
  <si>
    <t>02 · TRONG BUỔI HỌC</t>
  </si>
  <si>
    <t>03 · SAU BUỔI HỌC</t>
  </si>
  <si>
    <t>04 · QUA BUỔI</t>
  </si>
  <si>
    <t>Intern đọc mục tiêu, search 3–5 từ khóa và ghi câu hỏi. Mentor chuẩn bị demo ngắn cùng bộ test case biên.</t>
  </si>
  <si>
    <t>20' ôn bài · 45' concept · 75' hands-on · 20' review · 10' giao bài. Không code-along quá lâu.</t>
  </si>
  <si>
    <t>Intern nộp PR, ảnh/video và self-check. Mentor review theo tiêu chí đạt, không chỉ chấm code chạy được.</t>
  </si>
  <si>
    <t>Deliverable đạt · điểm từ 7/10 · intern giải thích được code · không còn blocker kiến thức cốt lõi.</t>
  </si>
  <si>
    <t>NHỊP HỌC ĐỀ XUẤT</t>
  </si>
  <si>
    <t>TUẦN 1–2  ·  JS CORE     →     TUẦN 3–4  ·  JS TRÊN TRÌNH DUYỆT     →     TUẦN 5–6  ·  REACT CORE     →     TUẦN 7–8  ·  REACT APP &amp; FINAL PROJECT</t>
  </si>
  <si>
    <t>Bắt đầu ở sheet TIẾN ĐỘ 32 BUỔI để theo dõi. Mở các sheet 01–04 để xem giáo án chi tiết từng buổi. Sheet NĂNG LỰC dùng cho 1:1 hằng tuần; sheet ĐÁNH GIÁ dùng khi chấm final project.</t>
  </si>
  <si>
    <t>TIẾN ĐỘ 32 BUỔI</t>
  </si>
  <si>
    <t>Tracker gọn để mentor lọc theo tuần, giai đoạn và trạng thái. Nội dung giáo án chi tiết nằm ở các sheet 01–04.</t>
  </si>
  <si>
    <t>Ô màu vàng là dữ liệu cần cập nhật · Trạng thái và điểm sẽ tự phản ánh lên dashboard</t>
  </si>
  <si>
    <t>Buổi</t>
  </si>
  <si>
    <t>Tuần</t>
  </si>
  <si>
    <t>Chủ đề</t>
  </si>
  <si>
    <t>Kết quả đầu ra</t>
  </si>
  <si>
    <t>Deliverable</t>
  </si>
  <si>
    <t>Giờ</t>
  </si>
  <si>
    <t>Hình thức</t>
  </si>
  <si>
    <t>Trạng thái</t>
  </si>
  <si>
    <t>Điểm</t>
  </si>
  <si>
    <t>Reviewer</t>
  </si>
  <si>
    <t>Ngày xong</t>
  </si>
  <si>
    <t>Blocker / Ghi chú</t>
  </si>
  <si>
    <t>GĐ1 · JS nền tảng</t>
  </si>
  <si>
    <t>Khởi động, công cụ &amp; cách học</t>
  </si>
  <si>
    <t>Chạy được JavaScript trong browser/Node, dùng DevTools và Git theo workflow cơ bản.</t>
  </si>
  <si>
    <t>Repo chạy được, commit rõ nghĩa, PR có mô tả và không commit node_modules.</t>
  </si>
  <si>
    <t>Workshop</t>
  </si>
  <si>
    <t>Chưa học</t>
  </si>
  <si>
    <t/>
  </si>
  <si>
    <t>Biến, kiểu dữ liệu &amp; ép kiểu</t>
  </si>
  <si>
    <t>Chọn đúng const/let, dự đoán được kiểu và kết quả phép so sánh phổ biến.</t>
  </si>
  <si>
    <t>File solution.js kèm comment giải thích, tối thiểu 16/20 câu đúng.</t>
  </si>
  <si>
    <t>Theory + Lab</t>
  </si>
  <si>
    <t>Điều kiện, vòng lặp &amp; debugging</t>
  </si>
  <si>
    <t>Viết luồng điều khiển rõ ràng và dùng debugger để tìm lỗi logic.</t>
  </si>
  <si>
    <t>PR có test case biên, ảnh breakpoint và ghi nguyên nhân lỗi.</t>
  </si>
  <si>
    <t>Function, scope, hoisting &amp; closure</t>
  </si>
  <si>
    <t>Giải thích được execution context, scope và dùng closure trong bài toán thực tế.</t>
  </si>
  <si>
    <t>Unit-style assertions cho API cart; không mutate từ bên ngoài.</t>
  </si>
  <si>
    <t>Array, String &amp; thuật toán cơ bản</t>
  </si>
  <si>
    <t>Thao tác collection đúng, viết được bài xử lý dữ liệu nhỏ không phụ thuộc framework.</t>
  </si>
  <si>
    <t>Tất cả test mẫu pass; ghi rõ hàm nào mutate input.</t>
  </si>
  <si>
    <t>Lab</t>
  </si>
  <si>
    <t>Array methods &amp; tư duy functional</t>
  </si>
  <si>
    <t>Biến đổi dữ liệu bằng map/filter/reduce, chọn method theo ý nghĩa thay vì nhồi reduce.</t>
  </si>
  <si>
    <t>Đọc pipeline từ trái sang phải; callback tên rõ; không dùng map chỉ để side effect.</t>
  </si>
  <si>
    <t>Object, destructuring, spread &amp; JSON</t>
  </si>
  <si>
    <t>Mô hình hóa dữ liệu object và cập nhật bất biến ở mức nông.</t>
  </si>
  <si>
    <t>Input cũ không đổi; không crash khi thiếu field; nêu được giới hạn shallow copy.</t>
  </si>
  <si>
    <t>Checkpoint 1 · Mini project JS Core</t>
  </si>
  <si>
    <t>Củng cố JS core qua bài toán dữ liệu, trình bày được quyết định code.</t>
  </si>
  <si>
    <t>Link repo + demo output + self-review theo rubric.</t>
  </si>
  <si>
    <t>Checkpoint</t>
  </si>
  <si>
    <t>GĐ2 · JS trên trình duyệt</t>
  </si>
  <si>
    <t>DOM selection &amp; manipulation</t>
  </si>
  <si>
    <t>Tạo/cập nhật UI bằng DOM API, hiểu reflow ở mức thực hành.</t>
  </si>
  <si>
    <t>Video/GIF demo + PR; kiểm tra empty/loading/error UI giả lập.</t>
  </si>
  <si>
    <t>Events, form &amp; validation</t>
  </si>
  <si>
    <t>Xử lý tương tác, form và event propagation đúng cách.</t>
  </si>
  <si>
    <t>Không duplicate listener sau render; lỗi được xóa khi hợp lệ; submit không reload.</t>
  </si>
  <si>
    <t>ES Modules, npm &amp; cấu trúc project</t>
  </si>
  <si>
    <t>Tách module có ranh giới rõ và dùng package scripts/linter formatter.</t>
  </si>
  <si>
    <t>Cây thư mục + scripts + README setup; không commit dist/node_modules.</t>
  </si>
  <si>
    <t>Async model, event loop &amp; Promise</t>
  </si>
  <si>
    <t>Đọc đúng thứ tự async và viết chuỗi Promise có error path.</t>
  </si>
  <si>
    <t>Giải thích được vì sao output theo thứ tự; rejection luôn được xử lý.</t>
  </si>
  <si>
    <t>async/await, Fetch, HTTP &amp; REST</t>
  </si>
  <si>
    <t>Tích hợp API có loading/error/timeout và kiểm tra HTTP status.</t>
  </si>
  <si>
    <t>Network screenshot + README endpoint + code không nuốt lỗi.</t>
  </si>
  <si>
    <t>Browser storage &amp; state persistence</t>
  </si>
  <si>
    <t>Lưu/khôi phục state có version và xử lý dữ liệu hỏng.</t>
  </si>
  <si>
    <t>Reload không mất dữ liệu; JSON hỏng không làm app trắng trang.</t>
  </si>
  <si>
    <t>Prototype, class, this &amp; error design</t>
  </si>
  <si>
    <t>Đọc được code OOP JS và thiết kế lỗi có ý nghĩa, không lạm dụng class.</t>
  </si>
  <si>
    <t>Error có name/message/context; không catch rồi bỏ qua; inheritance tối đa 1 tầng.</t>
  </si>
  <si>
    <t>Checkpoint 2 · Vanilla JS App</t>
  </si>
  <si>
    <t>Hoàn thành ứng dụng browser có API, module và trạng thái UI đầy đủ.</t>
  </si>
  <si>
    <t>Repo + demo + rubric checkpoint; lint/build pass.</t>
  </si>
  <si>
    <t>GĐ3 · React nền tảng</t>
  </si>
  <si>
    <t>React mental model, Vite, JSX &amp; component</t>
  </si>
  <si>
    <t>Khởi tạo React app và mô tả UI bằng component thuần, JSX hợp lệ.</t>
  </si>
  <si>
    <t>npm run dev/build chạy; component PascalCase; JSX không lỗi console.</t>
  </si>
  <si>
    <t>Props, composition &amp; children</t>
  </si>
  <si>
    <t>Thiết kế component tái sử dụng bằng props và composition.</t>
  </si>
  <si>
    <t>Không mutate props; API component dễ đoán; layout không phụ thuộc dữ liệu global.</t>
  </si>
  <si>
    <t>Events, useState &amp; immutable updates</t>
  </si>
  <si>
    <t>Quản lý state local và cập nhật object/array không mutate.</t>
  </si>
  <si>
    <t>UI cập nhật đúng nhiều lần liên tiếp; state cũ không bị mutate.</t>
  </si>
  <si>
    <t>Conditional rendering, lists &amp; keys</t>
  </si>
  <si>
    <t>Render danh sách ổn định và chọn key đúng theo identity.</t>
  </si>
  <si>
    <t>Không có key warning; state đúng sau reorder/delete; branch rõ, không nested ternary sâu.</t>
  </si>
  <si>
    <t>Controlled forms &amp; validation</t>
  </si>
  <si>
    <t>Xây form React có validation, submit và UX lỗi hợp lý.</t>
  </si>
  <si>
    <t>Không submit double; lỗi rõ; giá trị 0/checkbox xử lý đúng; label liên kết input.</t>
  </si>
  <si>
    <t>Thiết kế state, lifting state &amp; derived data</t>
  </si>
  <si>
    <t>Đặt state đúng nơi và tránh duplicated/contradictory state.</t>
  </si>
  <si>
    <t>Không lưu filteredList/total khi có thể derive; sibling sync qua parent chung hợp lý.</t>
  </si>
  <si>
    <t>Design + Lab</t>
  </si>
  <si>
    <t>useEffect, data fetching &amp; cleanup</t>
  </si>
  <si>
    <t>Dùng Effect chỉ để đồng bộ hệ thống ngoài; xử lý cleanup/race cơ bản.</t>
  </si>
  <si>
    <t>Không infinite loop; request cũ không ghi đè request mới; lint hook pass.</t>
  </si>
  <si>
    <t>Custom Hooks &amp; useRef</t>
  </si>
  <si>
    <t>Tách logic stateful tái sử dụng, dùng ref cho giá trị không ảnh hưởng render.</t>
  </si>
  <si>
    <t>Hook bắt đầu use; không gọi có điều kiện; ref change không được kỳ vọng render.</t>
  </si>
  <si>
    <t>GĐ4 · React ứng dụng</t>
  </si>
  <si>
    <t>Routing &amp; layout ứng dụng</t>
  </si>
  <si>
    <t>Tạo điều hướng nhiều trang, nested layout và trang 404.</t>
  </si>
  <si>
    <t>Không dùng anchor gây full reload cho internal route; URL chia sẻ được trạng thái filter.</t>
  </si>
  <si>
    <t>useReducer, Context &amp; state dùng chung</t>
  </si>
  <si>
    <t>Quản lý state phức tạp có action rõ, chia sẻ vừa đủ bằng Context.</t>
  </si>
  <si>
    <t>Reducer không side effect; action tên theo sự kiện; provider scope nhỏ nhất hợp lý.</t>
  </si>
  <si>
    <t>Server state, cache &amp; TanStack Query</t>
  </si>
  <si>
    <t>Hiểu khác biệt client/server state và dùng query library cho fetch/cache/retry.</t>
  </si>
  <si>
    <t>Query key chứa dependency; không mirror data query vào state; mutation có feedback.</t>
  </si>
  <si>
    <t>Performance &amp; render optimization</t>
  </si>
  <si>
    <t>Đo trước khi tối ưu; nhận diện render thừa và dùng memoization đúng chỗ.</t>
  </si>
  <si>
    <t>Không dùng useMemo để sửa logic; dependency đúng; có bằng chứng cải thiện.</t>
  </si>
  <si>
    <t>Lab + Review</t>
  </si>
  <si>
    <t>Testing với Vitest &amp; React Testing Library</t>
  </si>
  <si>
    <t>Viết test theo hành vi người dùng cho logic và component quan trọng.</t>
  </si>
  <si>
    <t>Test đọc như hành vi; không query className; async test ổn định; critical path pass.</t>
  </si>
  <si>
    <t>Quality gate: accessibility, security &amp; review</t>
  </si>
  <si>
    <t>Đưa project qua checklist chất lượng trước khi bàn giao.</t>
  </si>
  <si>
    <t>Không lỗi console; tab order hợp lý; secret không nằm client; quality scripts pass.</t>
  </si>
  <si>
    <t>Audit + Review</t>
  </si>
  <si>
    <t>Final Project Sprint · Build &amp; mentor review</t>
  </si>
  <si>
    <t>Tích hợp kiến thức thành MVP có scope kiểm soát và kiến trúc giải thích được.</t>
  </si>
  <si>
    <t>MVP end-to-end chạy; không mở rộng scope trước khi core flow hoàn tất.</t>
  </si>
  <si>
    <t>Project Sprint</t>
  </si>
  <si>
    <t>Demo, code review &amp; kế hoạch phát triển</t>
  </si>
  <si>
    <t>Chứng minh năng lực qua demo, phản biện code và lập kế hoạch 30 ngày tiếp theo.</t>
  </si>
  <si>
    <t>Không có blocker; giải thích được code do mình viết; biết giới hạn và hướng cải thiện.</t>
  </si>
  <si>
    <t>Demo + Assessment</t>
  </si>
  <si>
    <t>01 · JAVASCRIPT NỀN TẢNG</t>
  </si>
  <si>
    <t>Tuần 1–2 · ngôn ngữ, tư duy xử lý dữ liệu và checkpoint JS Core</t>
  </si>
  <si>
    <t>8 BUỔI  ·  20 GIỜ TRÊN LỚP  ·  MỖI BUỔI CÓ SEARCH KEYWORDS + DELIVERABLE + TIÊU CHÍ ĐẠT</t>
  </si>
  <si>
    <t>BUỔI 01  ·  KHỞI ĐỘNG, CÔNG CỤ &amp; CÁCH HỌC</t>
  </si>
  <si>
    <t>TUẦN 1</t>
  </si>
  <si>
    <t>WORKSHOP</t>
  </si>
  <si>
    <t>2.5 GIỜ</t>
  </si>
  <si>
    <t>MDN – JavaScript Introduction</t>
  </si>
  <si>
    <t>MỤC TIÊU</t>
  </si>
  <si>
    <t>NỘI DUNG CHÍNH</t>
  </si>
  <si>
    <t>Cài Node LTS, VS Code, Git; phân biệt JavaScript engine/runtime; script tag vs console vs Node; đọc lỗi; Git clone/branch/commit/push; quy ước nộp bài.</t>
  </si>
  <si>
    <t>TỪ KHÓA SEARCH</t>
  </si>
  <si>
    <t>JavaScript runtime vs engine; Chrome DevTools console sources network; Node.js npm basics; git feature branch commit convention</t>
  </si>
  <si>
    <t>DEMO TRÊN LỚP</t>
  </si>
  <si>
    <t>Mentor tạo repo, chạy file JS bằng browser và Node, cố tình tạo SyntaxError/ReferenceError rồi debug.</t>
  </si>
  <si>
    <t>THỰC HÀNH</t>
  </si>
  <si>
    <t>Fork/clone repo training; tạo branch; viết 5 phép tính + log kiểu dữ liệu; sửa 3 lỗi mẫu; push PR đầu tiên.</t>
  </si>
  <si>
    <t>BÀI TẬP VỀ NHÀ</t>
  </si>
  <si>
    <t>Viết README môi trường + ảnh chụp DevTools + link PR.</t>
  </si>
  <si>
    <t>DELIVERABLE</t>
  </si>
  <si>
    <t>TIÊU CHÍ ĐẠT</t>
  </si>
  <si>
    <t>Tự giải thích được browser vs Node; mở đúng tab DevTools; hoàn tất workflow Git không cần cầm tay.</t>
  </si>
  <si>
    <t>TÀI LIỆU</t>
  </si>
  <si>
    <t>https://developer.mozilla.org/en-US/docs/Web/JavaScript/Guide/Introduction</t>
  </si>
  <si>
    <t>BUỔI 02  ·  BIẾN, KIỂU DỮ LIỆU &amp; ÉP KIỂU</t>
  </si>
  <si>
    <t>THEORY + LAB</t>
  </si>
  <si>
    <t>MDN – Grammar and types</t>
  </si>
  <si>
    <t>Primitive vs object; let/const; typeof; truthy/falsy; implicit/explicit coercion; == vs ===; null/undefined; NaN; template literal; naming.</t>
  </si>
  <si>
    <t>JavaScript primitive types; typeof null; truthy falsy table; type coercion; == vs ===; Number.isNaN; null vs undefined</t>
  </si>
  <si>
    <t>Live predict-output 12 biểu thức, sau đó kiểm tra bằng console và giải thích từng kết quả.</t>
  </si>
  <si>
    <t>Viết hàm normalizeUserInput chuyển input form sang name/age/active chuẩn; xử lý chuỗi rỗng, NaN, null.</t>
  </si>
  <si>
    <t>20 câu predict-output + refactor đoạn code dùng == và var.</t>
  </si>
  <si>
    <t>Không nhầm falsy với nullish; biết khi nào parse/convert dữ liệu ở boundary.</t>
  </si>
  <si>
    <t>https://developer.mozilla.org/en-US/docs/Web/JavaScript/Guide/Grammar_and_types</t>
  </si>
  <si>
    <t>BUỔI 03  ·  ĐIỀU KIỆN, VÒNG LẶP &amp; DEBUGGING</t>
  </si>
  <si>
    <t>MDN – Control flow and error handling</t>
  </si>
  <si>
    <t>if/else, switch, ternary; for/while/for...of; break/continue; guard clause; console.table; breakpoint, step over/into, watch; đọc stack trace.</t>
  </si>
  <si>
    <t>JavaScript control flow; guard clause refactoring; for of vs for in; Chrome DevTools breakpoints watch call stack</t>
  </si>
  <si>
    <t>Debug hàm tính phí giao hàng có 4 lỗi logic bằng breakpoint, không chỉ console.log.</t>
  </si>
  <si>
    <t>Xây menu CLI nhỏ phân loại điểm và thống kê danh sách; áp dụng guard clause.</t>
  </si>
  <si>
    <t>Giải 5 bài loop: FizzBuzz, tổng số chẵn, đếm ký tự, max thứ hai, nhóm theo trạng thái.</t>
  </si>
  <si>
    <t>Code không lặp điều kiện thừa; chọn vòng lặp phù hợp; tìm được lỗi bằng call stack.</t>
  </si>
  <si>
    <t>https://developer.mozilla.org/en-US/docs/Web/JavaScript/Guide/Control_flow_and_error_handling</t>
  </si>
  <si>
    <t>BUỔI 04  ·  FUNCTION, SCOPE, HOISTING &amp; CLOSURE</t>
  </si>
  <si>
    <t>MDN – Functions</t>
  </si>
  <si>
    <t>Function declaration/expression/arrow; parameters/default/rest; return; pure function; lexical scope; hoisting; TDZ; closure; callback cơ bản.</t>
  </si>
  <si>
    <t>function declaration vs expression hoisting; lexical scope JavaScript; temporal dead zone; closure practical examples; pure function</t>
  </si>
  <si>
    <t>Vẽ scope chain của đoạn code; làm counter và once() bằng closure; so sánh this của arrow/function ở mức nhận biết.</t>
  </si>
  <si>
    <t>Viết createCart() giữ state private với add/remove/getTotal; không lộ mảng nội bộ.</t>
  </si>
  <si>
    <t>Giải thích bằng lời 5 output về hoisting/closure; viết debounce giả lập là bài bonus.</t>
  </si>
  <si>
    <t>Phân biệt khai báo/hàm gọi; nhận diện stale/closed-over value; biết dùng closure có chủ đích.</t>
  </si>
  <si>
    <t>https://developer.mozilla.org/en-US/docs/Web/JavaScript/Guide/Functions</t>
  </si>
  <si>
    <t>BUỔI 05  ·  ARRAY, STRING &amp; THUẬT TOÁN CƠ BẢN</t>
  </si>
  <si>
    <t>TUẦN 2</t>
  </si>
  <si>
    <t>LAB</t>
  </si>
  <si>
    <t>MDN – Indexed collections</t>
  </si>
  <si>
    <t>Array indexing; mutating vs non-mutating methods; slice/splice; string methods; split/join; nested loops; Big-O trực giác; edge cases.</t>
  </si>
  <si>
    <t>JavaScript array mutating methods list; slice vs splice; string split join; array time complexity basics; shallow copy array</t>
  </si>
  <si>
    <t>Mentor xử lý danh sách order thô: làm sạch name, lọc item lỗi, tính tổng, tìm top product.</t>
  </si>
  <si>
    <t>Tạo bộ hàm chunk, unique, frequencyMap, rotateArray và normalizeWhitespace.</t>
  </si>
  <si>
    <t>10 bài array/string có test case empty/single/duplicate/Unicode cơ bản.</t>
  </si>
  <si>
    <t>Không dùng sort sai với số; xử lý mảng rỗng; biết ước lượng O(n) và O(n²).</t>
  </si>
  <si>
    <t>https://developer.mozilla.org/en-US/docs/Web/JavaScript/Guide/Indexed_collections</t>
  </si>
  <si>
    <t>BUỔI 06  ·  ARRAY METHODS &amp; TƯ DUY FUNCTIONAL</t>
  </si>
  <si>
    <t>MDN – Array</t>
  </si>
  <si>
    <t>forEach, map, filter, find, some, every, reduce, sort/toSorted; chaining; comparator; immutability; higher-order function.</t>
  </si>
  <si>
    <t>map filter reduce when to use; JavaScript sort comparator; higher order functions; immutable array update; method chaining readability</t>
  </si>
  <si>
    <t>Từ orders tạo báo cáo doanh thu theo user và status; so sánh loop với pipeline method.</t>
  </si>
  <si>
    <t>Viết searchProducts(filters), groupByStatus và calculateInvoice không mutate input.</t>
  </si>
  <si>
    <t>Refactor bài buổi 5 sang array methods; thêm 8 assertion.</t>
  </si>
  <si>
    <t>Chọn đúng method ≥ 80% tình huống; kết quả và input sau gọi hàm đều đúng.</t>
  </si>
  <si>
    <t>https://developer.mozilla.org/en-US/docs/Web/JavaScript/Reference/Global_Objects/Array</t>
  </si>
  <si>
    <t>BUỔI 07  ·  OBJECT, DESTRUCTURING, SPREAD &amp; JSON</t>
  </si>
  <si>
    <t>MDN – Working with objects</t>
  </si>
  <si>
    <t>Property access/computed keys; Object.keys/values/entries; destructuring; rest/spread; optional chaining; nullish coalescing; shallow copy; JSON parse/stringify; Date caveat.</t>
  </si>
  <si>
    <t>JavaScript object destructuring nested; spread shallow copy; optional chaining nullish coalescing; JSON parse stringify limitations; structuredClone</t>
  </si>
  <si>
    <t>Chuẩn hóa API response lồng nhau; build view model an toàn khi thiếu profile/address.</t>
  </si>
  <si>
    <t>Viết updateUserProfile(user, patch), indexById(list), safeGetDisplayName(response).</t>
  </si>
  <si>
    <t>Bài JSON: serialize/deserialize cart; liệt kê dữ liệu bị mất (undefined/function/Date type).</t>
  </si>
  <si>
    <t>Dùng ?. và ?? đúng nghĩa; phân biệt missing, null, falsy.</t>
  </si>
  <si>
    <t>https://developer.mozilla.org/en-US/docs/Web/JavaScript/Guide/Working_with_objects</t>
  </si>
  <si>
    <t>BUỔI 08  ·  CHECKPOINT 1 · MINI PROJECT JS CORE</t>
  </si>
  <si>
    <t>CHECKPOINT</t>
  </si>
  <si>
    <t>MDN – JavaScript Guide</t>
  </si>
  <si>
    <t>Đề bài Expense Tracker chạy console: CRUD transaction, filter theo khoảng ngày/category, tổng hợp tháng; module hóa logic; validation; review checklist.</t>
  </si>
  <si>
    <t>JavaScript mini project expense tracker; separation of concerns vanilla JS; input validation edge cases; JSDoc basics</t>
  </si>
  <si>
    <t>Mentor phân rã requirement thành data model → use cases → test cases; demo review một PR mẫu.</t>
  </si>
  <si>
    <t>Pair 30 phút thiết kế API; sau đó cá nhân hoàn thành core logic và assertions.</t>
  </si>
  <si>
    <t>Hoàn thiện mini project, README cách chạy, tối thiểu 12 test case thủ công/assertion.</t>
  </si>
  <si>
    <t>Chức năng đúng ≥ 80%; không global state tùy tiện; hàm ngắn, tên rõ, edge case có xử lý.</t>
  </si>
  <si>
    <t>https://developer.mozilla.org/en-US/docs/Web/JavaScript/Guide</t>
  </si>
  <si>
    <t>02 · JAVASCRIPT TRÊN TRÌNH DUYỆT</t>
  </si>
  <si>
    <t>Tuần 3–4 · DOM, events, modules, async, HTTP và Vanilla JS App</t>
  </si>
  <si>
    <t>BUỔI 09  ·  DOM SELECTION &amp; MANIPULATION</t>
  </si>
  <si>
    <t>TUẦN 3</t>
  </si>
  <si>
    <t>MDN – DOM scripting</t>
  </si>
  <si>
    <t>DOM tree; querySelector; traversal; createElement; textContent vs innerHTML; classList; attributes; DocumentFragment; render function; XSS nhận biết.</t>
  </si>
  <si>
    <t>DOM tree querySelector createElement; textContent vs innerHTML security; DocumentFragment performance; DOM rendering patterns</t>
  </si>
  <si>
    <t>Render bảng products từ array; empty state; cập nhật badge cart mà không reload.</t>
  </si>
  <si>
    <t>Tạo component DOM thuần ProductCard và renderProducts(container, products).</t>
  </si>
  <si>
    <t>Thêm search + sort UI cho Expense Tracker; không dùng innerHTML với dữ liệu người dùng.</t>
  </si>
  <si>
    <t>Không query DOM lặp vô ích; không nối HTML không an toàn; UI phản ánh đúng state.</t>
  </si>
  <si>
    <t>https://developer.mozilla.org/en-US/docs/Learn_web_development/Core/Scripting/DOM_scripting</t>
  </si>
  <si>
    <t>BUỔI 10  ·  EVENTS, FORM &amp; VALIDATION</t>
  </si>
  <si>
    <t>MDN – Events</t>
  </si>
  <si>
    <t>addEventListener; event object; bubbling/capturing; delegation; preventDefault; form submit; FormData; client validation; input/change; debounce concept.</t>
  </si>
  <si>
    <t>JavaScript event bubbling capturing; event delegation dynamic list; preventDefault form submit; FormData API; client side validation</t>
  </si>
  <si>
    <t>Todo list có add/toggle/delete dùng một listener ở list; form hiển thị lỗi theo field.</t>
  </si>
  <si>
    <t>Hoàn thiện form transaction: trim input, validation, inline error, keyboard submit.</t>
  </si>
  <si>
    <t>Thêm filter buttons bằng event delegation; viết test checklist thao tác người dùng.</t>
  </si>
  <si>
    <t>Giải thích target/currentTarget; dùng submit event thay vì click button.</t>
  </si>
  <si>
    <t>https://developer.mozilla.org/en-US/docs/Learn_web_development/Core/Scripting/Events</t>
  </si>
  <si>
    <t>BUỔI 11  ·  ES MODULES, NPM &amp; CẤU TRÚC PROJECT</t>
  </si>
  <si>
    <t>MDN – JavaScript modules</t>
  </si>
  <si>
    <t>import/export named/default; module scope; dependency graph; package.json; dependencies/devDependencies; npm scripts; Vite vanilla; ESLint/Prettier; .gitignore; env concept.</t>
  </si>
  <si>
    <t>ES modules named vs default export; package json scripts dependencies devDependencies; Vite vanilla JavaScript setup; ESLint flat config; .gitignore node_modules</t>
  </si>
  <si>
    <t>Chuyển một file app.js 250 dòng thành data/service/ui/utils modules; chạy npm scripts.</t>
  </si>
  <si>
    <t>Scaffold Vite vanilla; cấu hình lint/format; tách Expense Tracker thành modules.</t>
  </si>
  <si>
    <t>PR phải pass npm run lint và npm run build; giải thích dependency direction.</t>
  </si>
  <si>
    <t>Không circular import; module có nhiệm vụ rõ; app build production thành công.</t>
  </si>
  <si>
    <t>https://developer.mozilla.org/en-US/docs/Web/JavaScript/Guide/Modules</t>
  </si>
  <si>
    <t>BUỔI 12  ·  ASYNC MODEL, EVENT LOOP &amp; PROMISE</t>
  </si>
  <si>
    <t>MDN – Using promises</t>
  </si>
  <si>
    <t>Call stack; Web APIs; task/microtask; callback; Promise states; then/catch/finally; Promise.all/allSettled/race; error propagation.</t>
  </si>
  <si>
    <t>JavaScript event loop microtask macrotask; Promise states chaining error propagation; Promise.all vs allSettled; async ordering interview</t>
  </si>
  <si>
    <t>Predict output setTimeout/Promise; mô phỏng 3 request chạy tuần tự vs song song.</t>
  </si>
  <si>
    <t>Viết runJobs(jobs) trả kết quả allSettled và summary success/fail.</t>
  </si>
  <si>
    <t>15 câu async ordering + refactor callback chain sang Promise.</t>
  </si>
  <si>
    <t>Không tạo Promise thừa; biết fail-fast của Promise.all.</t>
  </si>
  <si>
    <t>https://developer.mozilla.org/en-US/docs/Web/JavaScript/Guide/Using_promises</t>
  </si>
  <si>
    <t>BUỔI 13  ·  ASYNC/AWAIT, FETCH, HTTP &amp; REST</t>
  </si>
  <si>
    <t>TUẦN 4</t>
  </si>
  <si>
    <t>MDN – Fetch API</t>
  </si>
  <si>
    <t>async/await; try/catch/finally; fetch; request/response; JSON; GET/POST/PUT/PATCH/DELETE; status codes; headers; query params; AbortController; network vs HTTP error.</t>
  </si>
  <si>
    <t>Fetch API response ok error handling; async await try catch finally; HTTP status codes REST CRUD; AbortController timeout; URLSearchParams</t>
  </si>
  <si>
    <t>Gọi JSONPlaceholder: list/detail/create giả lập; mở Network tab đọc request/response.</t>
  </si>
  <si>
    <t>Tạo apiClient get/post có baseUrl, JSON parse, status check, AbortSignal.</t>
  </si>
  <si>
    <t>Tích hợp API vào product list; loading, empty, error và retry.</t>
  </si>
  <si>
    <t>Không giả định fetch reject với 404; UI luôn thoát loading; request bị hủy khi cần.</t>
  </si>
  <si>
    <t>https://developer.mozilla.org/en-US/docs/Web/API/Fetch_API/Using_Fetch</t>
  </si>
  <si>
    <t>BUỔI 14  ·  BROWSER STORAGE &amp; STATE PERSISTENCE</t>
  </si>
  <si>
    <t>MDN – Web Storage API</t>
  </si>
  <si>
    <t>localStorage/sessionStorage; string-only; serialize; schema/version; migration nhỏ; storage event; cookie overview; security: không lưu secret/token nhạy cảm tùy tiện.</t>
  </si>
  <si>
    <t>localStorage JSON parse error; localStorage version migration; storage event cross tab; web storage security sensitive data</t>
  </si>
  <si>
    <t>Persist theme/cart/filter; cố tình làm hỏng JSON rồi fallback an toàn.</t>
  </si>
  <si>
    <t>Viết storageAdapter load/save/remove với namespace, version và default value.</t>
  </si>
  <si>
    <t>Expense Tracker tự khôi phục dữ liệu; nút reset; xử lý quota/error ở mức cơ bản.</t>
  </si>
  <si>
    <t>Biết storage là sync API; tách persistence khỏi UI logic.</t>
  </si>
  <si>
    <t>https://developer.mozilla.org/en-US/docs/Web/API/Web_Storage_API</t>
  </si>
  <si>
    <t>BUỔI 15  ·  PROTOTYPE, CLASS, THIS &amp; ERROR DESIGN</t>
  </si>
  <si>
    <t>MDN – Object model</t>
  </si>
  <si>
    <t>Prototype chain; class syntax; constructor; extends/super; private fields overview; this binding; call/apply/bind; Error subclass; throw/rethrow; composition vs inheritance.</t>
  </si>
  <si>
    <t>JavaScript prototype chain; class syntax private fields; this binding arrow function; call apply bind; custom Error class</t>
  </si>
  <si>
    <t>Đi lần lookup property trên prototype; sửa bug mất this khi truyền method làm callback.</t>
  </si>
  <si>
    <t>Mô hình CartService hoặc ApiClient bằng class; tạo ValidationError/HttpError.</t>
  </si>
  <si>
    <t>So sánh class và factory function cho cùng bài; nêu trade-off.</t>
  </si>
  <si>
    <t>Giải thích this theo call-site; hiểu class là syntax trên prototype.</t>
  </si>
  <si>
    <t>https://developer.mozilla.org/en-US/docs/Web/JavaScript/Guide/Inheritance_and_the_prototype_chain</t>
  </si>
  <si>
    <t>BUỔI 16  ·  CHECKPOINT 2 · VANILLA JS APP</t>
  </si>
  <si>
    <t>Vite – Getting Started</t>
  </si>
  <si>
    <t>Đề bài Product Explorer: list/search/filter/sort/pagination hoặc load more; detail modal; favorites localStorage; API layer; accessibility cơ bản; build Vite.</t>
  </si>
  <si>
    <t>vanilla JavaScript API project architecture; loading empty error states; client side pagination filtering; accessible modal basics</t>
  </si>
  <si>
    <t>Mentor review architecture và demo checklist bug phổ biến: race request, duplicate render, stale filter.</t>
  </si>
  <si>
    <t>Code review chéo theo cặp; sửa ít nhất 3 nhận xét có lý do.</t>
  </si>
  <si>
    <t>Hoàn thiện app, deploy preview tùy môi trường, README và retrospective.</t>
  </si>
  <si>
    <t>Tất cả happy path chạy; error/empty state; module rõ; không có lỗi console.</t>
  </si>
  <si>
    <t>https://vite.dev/guide/</t>
  </si>
  <si>
    <t>04 · REACT ỨNG DỤNG</t>
  </si>
  <si>
    <t>Tuần 7–8 · routing, shared state, server cache, testing và final project</t>
  </si>
  <si>
    <t>BUỔI 25  ·  ROUTING &amp; LAYOUT ỨNG DỤNG</t>
  </si>
  <si>
    <t>TUẦN 7</t>
  </si>
  <si>
    <t>React Router – Start</t>
  </si>
  <si>
    <t>Client-side routing; route config; Link/NavLink; params; search params; nested routes/outlet; navigation; protected-route concept; 404; URL as state.</t>
  </si>
  <si>
    <t>React Router nested routes outlet; useParams useSearchParams; NavLink active; 404 route; URL state filters</t>
  </si>
  <si>
    <t>App có /products, /products/:id, /favorites; filter đồng bộ query string.</t>
  </si>
  <si>
    <t>Thêm router cho project; direct refresh route được giải thích theo host config.</t>
  </si>
  <si>
    <t>Breadcrumb nhỏ + not-found + back navigation hợp lý.</t>
  </si>
  <si>
    <t>Route modules/layout rõ; params không hợp lệ có fallback.</t>
  </si>
  <si>
    <t>https://reactrouter.com/start/declarative/routing</t>
  </si>
  <si>
    <t>BUỔI 26  ·  USEREDUCER, CONTEXT &amp; STATE DÙNG CHUNG</t>
  </si>
  <si>
    <t>DESIGN + LAB</t>
  </si>
  <si>
    <t>React – Reducer and Context</t>
  </si>
  <si>
    <t>Reducer pure; state/action; dispatch; initializer; reducer testing; Context provider/useContext; reducer+context; split state/dispatch; rerender caveat; when not to use context.</t>
  </si>
  <si>
    <t>React useReducer actions reducer pure; Context prop drilling; reducer context pattern; context rerender performance; state management decision</t>
  </si>
  <si>
    <t>Chuyển cart nhiều transition sang reducer; tạo CartProvider + hooks.</t>
  </si>
  <si>
    <t>Viết tests reducer bằng assertions; tích hợp favorites hoặc cart global.</t>
  </si>
  <si>
    <t>Decision note: local state vs context vs server cache cho 6 loại dữ liệu.</t>
  </si>
  <si>
    <t>Không biến Context thành global dumping ground; consumer ngoài provider có error rõ.</t>
  </si>
  <si>
    <t>https://react.dev/learn/scaling-up-with-reducer-and-context</t>
  </si>
  <si>
    <t>BUỔI 27  ·  SERVER STATE, CACHE &amp; TANSTACK QUERY</t>
  </si>
  <si>
    <t>TanStack Query – React overview</t>
  </si>
  <si>
    <t>Query key; query function; pending/error/success; cache/stale; refetch; mutation; invalidation; pagination concept; devtools; trade-off so với tự fetch Effect.</t>
  </si>
  <si>
    <t>TanStack Query React queryKey staleTime cacheTime gcTime; mutation invalidateQueries; server state vs client state; React Query pagination</t>
  </si>
  <si>
    <t>Thay useEffect fetch list bằng useQuery; create favorite/product giả lập rồi invalidate.</t>
  </si>
  <si>
    <t>Tích hợp query cho list/detail; đặt key factory nhỏ; hiển thị retry/error.</t>
  </si>
  <si>
    <t>Viết bảng quyết định: useEffect fetch vs query library; mô tả staleTime cho app.</t>
  </si>
  <si>
    <t>Giải thích cache, stale và invalidation bằng ví dụ project.</t>
  </si>
  <si>
    <t>https://tanstack.com/query/latest/docs/framework/react/overview</t>
  </si>
  <si>
    <t>BUỔI 28  ·  PERFORMANCE &amp; RENDER OPTIMIZATION</t>
  </si>
  <si>
    <t>LAB + REVIEW</t>
  </si>
  <si>
    <t>React – useMemo</t>
  </si>
  <si>
    <t>React Profiler; render triggers; referential equality; memo; useMemo/useCallback; expensive calculation; list virtualization concept; code splitting/lazy/Suspense overview; premature optimization.</t>
  </si>
  <si>
    <t>React Profiler find rerenders; React memo useMemo useCallback when to use; referential equality; lazy code splitting Suspense; list virtualization</t>
  </si>
  <si>
    <t>Profile list 1.000 items; tìm bottleneck; áp dụng tối thiểu một tối ưu có số đo trước/sau.</t>
  </si>
  <si>
    <t>Thêm lazy route hoặc memo hóa calculation thật sự đắt; ghi evidence profiler.</t>
  </si>
  <si>
    <t>Xóa memoization không có lợi trong code mẫu và giải thích.</t>
  </si>
  <si>
    <t>Nêu được cost của memoization và khi nào component render lại.</t>
  </si>
  <si>
    <t>https://react.dev/reference/react/useMemo</t>
  </si>
  <si>
    <t>BUỔI 29  ·  TESTING VỚI VITEST &amp; REACT TESTING LIBRARY</t>
  </si>
  <si>
    <t>TUẦN 8</t>
  </si>
  <si>
    <t>Testing Library – React</t>
  </si>
  <si>
    <t>Test pyramid; unit/integration; arrange-act-assert; Vitest; render/screen; queries by role/label; user-event; async findBy/waitFor; mock network concept; avoid implementation details.</t>
  </si>
  <si>
    <t>Vitest React setup jsdom; React Testing Library query priority getByRole; user-event; test async UI findBy; mock fetch MSW concept</t>
  </si>
  <si>
    <t>Test reducer/cart; test form validation; test API UI loading→success/error.</t>
  </si>
  <si>
    <t>Bổ sung ≥ 8 tests cho project, tập trung critical flow.</t>
  </si>
  <si>
    <t>CI script npm test; ghi test plan và phần chưa test.</t>
  </si>
  <si>
    <t>Biết test gì/không test gì; phân biệt mock function và fake server.</t>
  </si>
  <si>
    <t>https://testing-library.com/docs/react-testing-library/intro/</t>
  </si>
  <si>
    <t>BUỔI 30  ·  QUALITY GATE: ACCESSIBILITY, SECURITY &amp; REVIEW</t>
  </si>
  <si>
    <t>AUDIT + REVIEW</t>
  </si>
  <si>
    <t>web.dev – Accessibility</t>
  </si>
  <si>
    <t>Semantic HTML; keyboard/focus; labels; alt; ARIA first rule; color contrast; XSS/dangerouslySetInnerHTML; secret/env; dependency audit overview; ESLint; code review method; error boundary concept.</t>
  </si>
  <si>
    <t>React accessibility semantic HTML keyboard focus; ARIA first rule; XSS dangerouslySetInnerHTML React; Vite environment variables secrets; frontend code review checklist</t>
  </si>
  <si>
    <t>Dùng keyboard đi toàn app; sửa 5 lỗi a11y; review đoạn code render HTML nguy hiểm.</t>
  </si>
  <si>
    <t>Chạy lint/build/test; audit form/modal/navigation; lập issue theo severity.</t>
  </si>
  <si>
    <t>Review PR của bạn khác với ít nhất 8 comment: correctness, readability, UX, test.</t>
  </si>
  <si>
    <t>Biết phân loại blocker/major/nit và comment review có đề xuất cụ thể.</t>
  </si>
  <si>
    <t>https://web.dev/learn/accessibility/</t>
  </si>
  <si>
    <t>BUỔI 31  ·  FINAL PROJECT SPRINT · BUILD &amp; MENTOR REVIEW</t>
  </si>
  <si>
    <t>PROJECT SPRINT</t>
  </si>
  <si>
    <t>React – Thinking in React</t>
  </si>
  <si>
    <t>Chọn đề: Issue Tracker / Inventory / Learning Board; user stories; acceptance criteria; component tree; state map; API contract; routing; test plan; milestone; risk list.</t>
  </si>
  <si>
    <t>React project architecture feature folders; MVP scope user stories acceptance criteria; React state ownership diagram; frontend API error states; definition of done</t>
  </si>
  <si>
    <t>Pitch 5 phút; mentor duyệt scope; review architecture giữa sprint; xử lý blocker theo log.</t>
  </si>
  <si>
    <t>Hoàn thành MVP: ≥3 routes, CRUD hoặc workflow tương đương, API, form, shared state, tests.</t>
  </si>
  <si>
    <t>PR theo từng feature; README setup/decisions; demo data; issue board.</t>
  </si>
  <si>
    <t>Đạt Definition of Done trong sheet; mentor review không còn blocker.</t>
  </si>
  <si>
    <t>https://react.dev/learn/thinking-in-react</t>
  </si>
  <si>
    <t>BUỔI 32  ·  DEMO, CODE REVIEW &amp; KẾ HOẠCH PHÁT TRIỂN</t>
  </si>
  <si>
    <t>DEMO + ASSESSMENT</t>
  </si>
  <si>
    <t>React documentation</t>
  </si>
  <si>
    <t>Demo theo user story; architecture walkthrough; trade-offs; bug known; test evidence; performance/a11y check; code review live; retrospective Start/Stop/Continue; next steps TypeScript/state/testing.</t>
  </si>
  <si>
    <t>frontend project demo structure; architecture decision record example; developer retrospective start stop continue; junior React interview project walkthrough</t>
  </si>
  <si>
    <t>Demo 10 phút + Q&amp;A 10 phút; mentor chọn một flow để trace UI→state→API→test.</t>
  </si>
  <si>
    <t>Sửa 1 issue live hoặc lập kế hoạch fix rõ; tự chấm rubric có evidence.</t>
  </si>
  <si>
    <t>Release tag; README hoàn chỉnh; slide 1 trang; learning plan 30 ngày.</t>
  </si>
  <si>
    <t>Điểm rubric ≥ 70/100; từng tiêu chí có minh chứng; kế hoạch tiếp theo cụ thể.</t>
  </si>
  <si>
    <t>https://react.dev/</t>
  </si>
  <si>
    <t>03 · REACT NỀN TẢNG</t>
  </si>
  <si>
    <t>Tuần 5–6 · component, props, state, forms, effects và custom hooks</t>
  </si>
  <si>
    <t>BUỔI 17  ·  REACT MENTAL MODEL, VITE, JSX &amp; COMPONENT</t>
  </si>
  <si>
    <t>TUẦN 5</t>
  </si>
  <si>
    <t>React – Quick Start</t>
  </si>
  <si>
    <t>Why React; declarative UI; render tree; component function; JSX rules; expressions; fragments; import assets; React DevTools; Vite React template.</t>
  </si>
  <si>
    <t>React declarative vs imperative UI; JSX rules expressions fragments; React render tree; Vite React setup; React DevTools</t>
  </si>
  <si>
    <t>Chuyển ProductCard DOM thuần sang React component; quan sát render tree.</t>
  </si>
  <si>
    <t>Scaffold app; tạo App/Header/ProductList/ProductCard từ dữ liệu tĩnh.</t>
  </si>
  <si>
    <t>Tách landing page thành component tree và ghi lý do ranh giới.</t>
  </si>
  <si>
    <t>Component thuần theo props; không thao tác DOM trực tiếp để render UI.</t>
  </si>
  <si>
    <t>https://react.dev/learn</t>
  </si>
  <si>
    <t>BUỔI 18  ·  PROPS, COMPOSITION &amp; CHILDREN</t>
  </si>
  <si>
    <t>React – Passing props</t>
  </si>
  <si>
    <t>Props read-only; destructuring/defaults; children; composition; one-way data flow; presentational vs container ở mức thực dụng; avoid boolean-prop explosion.</t>
  </si>
  <si>
    <t>React props read only; children composition patterns; one way data flow React; component API design; conditional children</t>
  </si>
  <si>
    <t>Xây Button/Card/Modal/EmptyState APIs; so sánh component quá tổng quát và vừa đủ.</t>
  </si>
  <si>
    <t>Refactor ProductCard để nhận actions/children; tạo reusable Section và Badge.</t>
  </si>
  <si>
    <t>Viết Story-like demo page cho 6 trạng thái component không cần Storybook.</t>
  </si>
  <si>
    <t>Giải thích data flow parent→child và event callback child→parent.</t>
  </si>
  <si>
    <t>https://react.dev/learn/passing-props-to-a-component</t>
  </si>
  <si>
    <t>BUỔI 19  ·  EVENTS, USESTATE &amp; IMMUTABLE UPDATES</t>
  </si>
  <si>
    <t>React – Adding interactivity</t>
  </si>
  <si>
    <t>Event handlers; useState; render snapshot; batching; functional updater; controlled toggle; update object/array; state minimality; React Strict Mode nhận biết.</t>
  </si>
  <si>
    <t>React state as snapshot; batching state updates; functional state updater; updating arrays objects in state; useState common mistakes</t>
  </si>
  <si>
    <t>Counter nhiều bước; cart add/remove/quantity; dùng React DevTools xem state.</t>
  </si>
  <si>
    <t>Xây cart local với total derived; không lưu total vào state.</t>
  </si>
  <si>
    <t>Bài sửa 8 bug mutate state/stale update; giải thích từng bug.</t>
  </si>
  <si>
    <t>Biết khi nào dùng prev =&gt;; không đọc state mới ngay sau setter.</t>
  </si>
  <si>
    <t>https://react.dev/learn/adding-interactivity</t>
  </si>
  <si>
    <t>BUỔI 20  ·  CONDITIONAL RENDERING, LISTS &amp; KEYS</t>
  </si>
  <si>
    <t>React – Rendering lists</t>
  </si>
  <si>
    <t>&amp;&amp;/ternary/early return; list map; key identity; index key caveat; component state preservation/reset; loading/empty/error branches.</t>
  </si>
  <si>
    <t>React rendering lists keys identity; index as key problems; conditional rendering patterns; preserving resetting state key</t>
  </si>
  <si>
    <t>Demo bug input nhảy state khi dùng index key; sửa bằng stable id.</t>
  </si>
  <si>
    <t>ProductList có skeleton đơn giản, empty/error; filter giữ identity đúng.</t>
  </si>
  <si>
    <t>Viết explanation 1 trang: key giúp React làm gì, khi nào index tạm chấp nhận.</t>
  </si>
  <si>
    <t>Phân biệt key với prop id; hiểu state gắn với vị trí trong tree.</t>
  </si>
  <si>
    <t>https://react.dev/learn/rendering-lists</t>
  </si>
  <si>
    <t>BUỔI 21  ·  CONTROLLED FORMS &amp; VALIDATION</t>
  </si>
  <si>
    <t>TUẦN 6</t>
  </si>
  <si>
    <t>React – Sharing state</t>
  </si>
  <si>
    <t>Controlled input; name/value; checkbox/select; form state object; touched/errors; sync validation; submit lifecycle; reset; uncontrolled/file input overview.</t>
  </si>
  <si>
    <t>React controlled components form validation; touched errors pattern; checkbox input React; form submit loading disable; uncontrolled file input</t>
  </si>
  <si>
    <t>Form tạo/edit product; validate theo field và toàn form; focus field lỗi đầu tiên.</t>
  </si>
  <si>
    <t>Tạo reusable Field shell; add/edit transaction trong modal hoặc page.</t>
  </si>
  <si>
    <t>Thêm confirm dirty form hoặc reset; test checklist keyboard.</t>
  </si>
  <si>
    <t>Phân biệt validation client/server; không lưu derived errors thừa nếu có thể tính.</t>
  </si>
  <si>
    <t>https://react.dev/learn/sharing-state-between-components</t>
  </si>
  <si>
    <t>BUỔI 22  ·  THIẾT KẾ STATE, LIFTING STATE &amp; DERIVED DATA</t>
  </si>
  <si>
    <t>React – Choosing the state structure</t>
  </si>
  <si>
    <t>Single source of truth; lifting state; controlled/uncontrolled component; state colocation; derived data; normalize by id cơ bản; reset bằng key; component decomposition.</t>
  </si>
  <si>
    <t>React choosing state structure; lifting state up; derived state anti pattern; state colocation; controlled uncontrolled components</t>
  </si>
  <si>
    <t>Refactor filter + list + summary: chỉ giữ query/category/sort, derive filteredItems/total.</t>
  </si>
  <si>
    <t>Vẽ state ownership map; tách ProductPage thành components theo responsibility.</t>
  </si>
  <si>
    <t>Review 5 state shape xấu và đề xuất shape mới.</t>
  </si>
  <si>
    <t>Giải thích được vì sao state đặt ở component nào.</t>
  </si>
  <si>
    <t>https://react.dev/learn/choosing-the-state-structure</t>
  </si>
  <si>
    <t>BUỔI 23  ·  USEEFFECT, DATA FETCHING &amp; CLEANUP</t>
  </si>
  <si>
    <t>React – Synchronizing with Effects</t>
  </si>
  <si>
    <t>Render vs event vs Effect; dependency array; cleanup; fetch on change; ignore/abort stale request; Strict Mode double run; derived data không cần Effect; exhaustive-deps.</t>
  </si>
  <si>
    <t>React useEffect dependencies cleanup; you might not need an effect; fetch race condition AbortController React; StrictMode effect twice</t>
  </si>
  <si>
    <t>Search-as-you-type: debounce + abort request; quan sát cleanup trong console.</t>
  </si>
  <si>
    <t>Tích hợp API list/detail với loading/error/retry; cleanup khi đổi query/unmount.</t>
  </si>
  <si>
    <t>Sửa 6 Effect anti-pattern: sync props→state, calculate total, missing deps, infinite loop.</t>
  </si>
  <si>
    <t>Nêu được external system đang sync là gì; nếu không có, cân nhắc bỏ Effect.</t>
  </si>
  <si>
    <t>https://react.dev/learn/synchronizing-with-effects</t>
  </si>
  <si>
    <t>BUỔI 24  ·  CUSTOM HOOKS &amp; USEREF</t>
  </si>
  <si>
    <t>React – Reusing logic with Custom Hooks</t>
  </si>
  <si>
    <t>Rules of Hooks; custom hook contract; useRef DOM/value; focus/scroll; previous value/timer id; ref vs state; escape hatch; hook testing mindset.</t>
  </si>
  <si>
    <t>React custom hooks naming rules; useRef vs useState; focus input with ref; custom hook API design; rules of hooks</t>
  </si>
  <si>
    <t>Tạo useLocalStorage, useDebouncedValue, useOnlineStatus; focus search input.</t>
  </si>
  <si>
    <t>Refactor Product Explorer dùng 2 custom hooks; viết demo usage + edge cases.</t>
  </si>
  <si>
    <t>Thiết kế useFetch hoặc useAsync ở mức học tập; ghi giới hạn cache/race.</t>
  </si>
  <si>
    <t>Consumer API ngắn, rõ; effect cleanup nằm trong hook phù hợp.</t>
  </si>
  <si>
    <t>https://react.dev/learn/reusing-logic-with-custom-hooks</t>
  </si>
  <si>
    <t>NĂNG LỰC INTERN</t>
  </si>
  <si>
    <t>Chỉ đánh dấu Đạt khi intern tự làm lại được, giải thích được quyết định và có evidence cụ thể.</t>
  </si>
  <si>
    <t>TỔNG NĂNG LỰC</t>
  </si>
  <si>
    <t>ĐÃ ĐẠT</t>
  </si>
  <si>
    <t>ĐANG BỔ SUNG</t>
  </si>
  <si>
    <t>TỶ LỆ ĐẠT</t>
  </si>
  <si>
    <t>Nhóm</t>
  </si>
  <si>
    <t>Năng lực</t>
  </si>
  <si>
    <t>Hành vi quan sát được</t>
  </si>
  <si>
    <t>Mức kỳ vọng</t>
  </si>
  <si>
    <t>Evidence gợi ý</t>
  </si>
  <si>
    <t>Tự tin /5</t>
  </si>
  <si>
    <t>Ghi chú mentor</t>
  </si>
  <si>
    <t>Nền tảng</t>
  </si>
  <si>
    <t>Công cụ</t>
  </si>
  <si>
    <t>Chạy JS bằng browser và Node; dùng DevTools</t>
  </si>
  <si>
    <t>Tự làm</t>
  </si>
  <si>
    <t>Link PR buổi 1</t>
  </si>
  <si>
    <t>Chưa đánh giá</t>
  </si>
  <si>
    <t>Git</t>
  </si>
  <si>
    <t>Branch/commit/push/PR và giải quyết conflict đơn giản</t>
  </si>
  <si>
    <t>Repo training</t>
  </si>
  <si>
    <t>JavaScript</t>
  </si>
  <si>
    <t>Kiểu dữ liệu</t>
  </si>
  <si>
    <t>Giải thích primitive, object, coercion, equality</t>
  </si>
  <si>
    <t>Giải thích + áp dụng</t>
  </si>
  <si>
    <t>Bài predict-output</t>
  </si>
  <si>
    <t>Control flow</t>
  </si>
  <si>
    <t>Guard clause, loop phù hợp, test case biên</t>
  </si>
  <si>
    <t>Áp dụng</t>
  </si>
  <si>
    <t>Bài buổi 3</t>
  </si>
  <si>
    <t>Function</t>
  </si>
  <si>
    <t>Scope, hoisting, closure, callback</t>
  </si>
  <si>
    <t>Cart closure</t>
  </si>
  <si>
    <t>Collection</t>
  </si>
  <si>
    <t>Array/string và map-filter-reduce</t>
  </si>
  <si>
    <t>Data transformation</t>
  </si>
  <si>
    <t>Object</t>
  </si>
  <si>
    <t>Destructure/spread/optional chaining/JSON</t>
  </si>
  <si>
    <t>Normalizer</t>
  </si>
  <si>
    <t>Immutability</t>
  </si>
  <si>
    <t>Không mutate input/state ngoài chủ đích</t>
  </si>
  <si>
    <t>Nhất quán</t>
  </si>
  <si>
    <t>Code review</t>
  </si>
  <si>
    <t>Browser</t>
  </si>
  <si>
    <t>DOM</t>
  </si>
  <si>
    <t>Render/update DOM an toàn</t>
  </si>
  <si>
    <t>Product list</t>
  </si>
  <si>
    <t>Events</t>
  </si>
  <si>
    <t>Bubbling, delegation, form submit</t>
  </si>
  <si>
    <t>Form + dynamic list</t>
  </si>
  <si>
    <t>Tooling</t>
  </si>
  <si>
    <t>Modules/npm</t>
  </si>
  <si>
    <t>Tách module, scripts, lint, build</t>
  </si>
  <si>
    <t>Vite vanilla app</t>
  </si>
  <si>
    <t>Async</t>
  </si>
  <si>
    <t>Event loop</t>
  </si>
  <si>
    <t>Dự đoán task/microtask</t>
  </si>
  <si>
    <t>Giải thích</t>
  </si>
  <si>
    <t>Quiz async</t>
  </si>
  <si>
    <t>Promise</t>
  </si>
  <si>
    <t>Chain, error propagation, concurrency</t>
  </si>
  <si>
    <t>runJobs</t>
  </si>
  <si>
    <t>HTTP</t>
  </si>
  <si>
    <t>Fetch/REST</t>
  </si>
  <si>
    <t>CRUD, status, loading/error/abort</t>
  </si>
  <si>
    <t>API client</t>
  </si>
  <si>
    <t>Storage</t>
  </si>
  <si>
    <t>Persist/version/fallback dữ liệu</t>
  </si>
  <si>
    <t>Storage adapter</t>
  </si>
  <si>
    <t>Prototype/this</t>
  </si>
  <si>
    <t>Đọc prototype chain và this call-site</t>
  </si>
  <si>
    <t>Bài buổi 15</t>
  </si>
  <si>
    <t>React</t>
  </si>
  <si>
    <t>JSX/component</t>
  </si>
  <si>
    <t>Component thuần, declarative UI</t>
  </si>
  <si>
    <t>Component tree</t>
  </si>
  <si>
    <t>Props/composition</t>
  </si>
  <si>
    <t>API component rõ, one-way data flow</t>
  </si>
  <si>
    <t>UI primitives</t>
  </si>
  <si>
    <t>State</t>
  </si>
  <si>
    <t>Snapshot, updater, immutable update</t>
  </si>
  <si>
    <t>Cart state</t>
  </si>
  <si>
    <t>Lists/keys</t>
  </si>
  <si>
    <t>Identity và state preservation</t>
  </si>
  <si>
    <t>Reorder demo</t>
  </si>
  <si>
    <t>Forms</t>
  </si>
  <si>
    <t>Controlled form và validation</t>
  </si>
  <si>
    <t>Create/edit form</t>
  </si>
  <si>
    <t>State design</t>
  </si>
  <si>
    <t>Colocation, lifting, derived state</t>
  </si>
  <si>
    <t>State map</t>
  </si>
  <si>
    <t>Effects</t>
  </si>
  <si>
    <t>External sync, dependency, cleanup/race</t>
  </si>
  <si>
    <t>API search</t>
  </si>
  <si>
    <t>Hooks</t>
  </si>
  <si>
    <t>Tạo custom hook có contract rõ</t>
  </si>
  <si>
    <t>useLocalStorage</t>
  </si>
  <si>
    <t>Ref</t>
  </si>
  <si>
    <t>DOM ref và mutable value không render</t>
  </si>
  <si>
    <t>Focus/timer</t>
  </si>
  <si>
    <t>App</t>
  </si>
  <si>
    <t>Routing</t>
  </si>
  <si>
    <t>Nested route, params, search params, 404</t>
  </si>
  <si>
    <t>3+ routes</t>
  </si>
  <si>
    <t>Reducer/Context</t>
  </si>
  <si>
    <t>Reducer pure, provider scope phù hợp</t>
  </si>
  <si>
    <t>CartProvider</t>
  </si>
  <si>
    <t>Server state</t>
  </si>
  <si>
    <t>Query key/cache/mutation/invalidation</t>
  </si>
  <si>
    <t>Query integration</t>
  </si>
  <si>
    <t>Quality</t>
  </si>
  <si>
    <t>Performance</t>
  </si>
  <si>
    <t>Profile trước, tối ưu có evidence</t>
  </si>
  <si>
    <t>Nhận biết + áp dụng</t>
  </si>
  <si>
    <t>Profiler capture</t>
  </si>
  <si>
    <t>Testing</t>
  </si>
  <si>
    <t>Test logic và UI theo hành vi</t>
  </si>
  <si>
    <t>8+ tests</t>
  </si>
  <si>
    <t>Accessibility</t>
  </si>
  <si>
    <t>Keyboard, semantic, label, focus</t>
  </si>
  <si>
    <t>Đạt checklist</t>
  </si>
  <si>
    <t>Audit report</t>
  </si>
  <si>
    <t>Security</t>
  </si>
  <si>
    <t>XSS, env secrets, input boundary</t>
  </si>
  <si>
    <t>Nhận biết</t>
  </si>
  <si>
    <t>Review notes</t>
  </si>
  <si>
    <t>Delivery</t>
  </si>
  <si>
    <t>Error states</t>
  </si>
  <si>
    <t>Loading/empty/error/retry nhất quán</t>
  </si>
  <si>
    <t>Final project</t>
  </si>
  <si>
    <t>Nhận xét có severity và đề xuất</t>
  </si>
  <si>
    <t>PR review</t>
  </si>
  <si>
    <t>Documentation</t>
  </si>
  <si>
    <t>README setup/decision/known issues</t>
  </si>
  <si>
    <t>Final README</t>
  </si>
  <si>
    <t>Demo</t>
  </si>
  <si>
    <t>Walkthrough UI→state→API→test</t>
  </si>
  <si>
    <t>Tự tin</t>
  </si>
  <si>
    <t>Final demo</t>
  </si>
  <si>
    <t>ĐÁNH GIÁ FINAL PROJECT</t>
  </si>
  <si>
    <t>Nhập điểm 1–4 và evidence. File tự quy đổi về thang 100; mức đạt khuyến nghị từ 70 điểm.</t>
  </si>
  <si>
    <t>ĐIỂM QUY ĐỔI</t>
  </si>
  <si>
    <t>XẾP LOẠI</t>
  </si>
  <si>
    <t>THANG ĐIỂM</t>
  </si>
  <si>
    <t>4  ·  Vượt chuẩn, có evidence rõ     |     3  ·  Đạt yêu cầu     |     2  ·  Còn khoảng trống lớn     |     1  ·  Chưa đạt chức năng hoặc không giải thích được</t>
  </si>
  <si>
    <t>Tiêu chí</t>
  </si>
  <si>
    <t>Trọng số</t>
  </si>
  <si>
    <t>Chuẩn đạt · Điểm 3</t>
  </si>
  <si>
    <t>Dấu hiệu tốt · Điểm 4</t>
  </si>
  <si>
    <t>Điểm 1–4</t>
  </si>
  <si>
    <t>Evidence &amp; nhận xét</t>
  </si>
  <si>
    <t>Quy đổi</t>
  </si>
  <si>
    <t>Chức năng cốt lõi</t>
  </si>
  <si>
    <t>Happy path và phần lớn edge case đúng</t>
  </si>
  <si>
    <t>Đủ flow, đúng edge case, ổn định</t>
  </si>
  <si>
    <t>JavaScript &amp; logic</t>
  </si>
  <si>
    <t>Logic đúng, có vài điểm có thể đơn giản</t>
  </si>
  <si>
    <t>Logic rõ, data transform đúng, immutable nhất quán</t>
  </si>
  <si>
    <t>Kiến trúc React</t>
  </si>
  <si>
    <t>Cấu trúc hợp lý, ít coupling</t>
  </si>
  <si>
    <t>Component/state boundaries rõ, composition tốt</t>
  </si>
  <si>
    <t>State &amp; data fetching</t>
  </si>
  <si>
    <t>Fetch/state đúng, error handling cơ bản</t>
  </si>
  <si>
    <t>Đủ loading/empty/error/race/cache hợp lý</t>
  </si>
  <si>
    <t>UX &amp; responsive</t>
  </si>
  <si>
    <t>Dùng được, layout ổn ở viewport chính</t>
  </si>
  <si>
    <t>Flow mượt, feedback rõ, responsive tốt</t>
  </si>
  <si>
    <t>Accessibility &amp; security</t>
  </si>
  <si>
    <t>Label/semantic chính đạt, không lộ secret</t>
  </si>
  <si>
    <t>Keyboard/focus/semantic tốt, không có pattern nguy hiểm</t>
  </si>
  <si>
    <t>Có test logic/UI cho flow chính</t>
  </si>
  <si>
    <t>Critical flow + error path, test bền vững</t>
  </si>
  <si>
    <t>Code quality &amp; Git</t>
  </si>
  <si>
    <t>Code đọc được, lint/build pass</t>
  </si>
  <si>
    <t>Tên rõ, module gọn, lint pass, commit/PR tốt</t>
  </si>
  <si>
    <t>README, demo &amp; ownership</t>
  </si>
  <si>
    <t>README đủ chạy; demo flow chính</t>
  </si>
  <si>
    <t>Setup/decision/known issues rõ; demo và Q&amp;A tốt</t>
  </si>
  <si>
    <t>TỔNG TRỌNG SỐ</t>
  </si>
  <si>
    <t>ĐIỂM TỐI ĐA</t>
  </si>
  <si>
    <t>TỰ SEARCH ĐỂ HỌC NHANH HƠN</t>
  </si>
  <si>
    <t>Tìm đúng triệu chứng · ưu tiên tài liệu chính thống · tạo ví dụ tối thiểu · ghi lại nguyên nhân và cách kiểm chứng</t>
  </si>
  <si>
    <t>01 · MÔ TẢ</t>
  </si>
  <si>
    <t>02 · SEARCH</t>
  </si>
  <si>
    <t>03 · KIỂM CHỨNG</t>
  </si>
  <si>
    <t>Ghi đúng error, hành vi mong muốn và hành vi thực tế.</t>
  </si>
  <si>
    <t>Dùng tiếng Anh, thêm tên API/framework và official docs.</t>
  </si>
  <si>
    <t>Tạo ví dụ nhỏ, dự đoán kết quả rồi tự chạy và giải thích.</t>
  </si>
  <si>
    <t>Khi nào dùng</t>
  </si>
  <si>
    <t>Mẫu từ khóa search</t>
  </si>
  <si>
    <t>Kết quả cần rút ra</t>
  </si>
  <si>
    <t>Dấu hiệu học sai hướng</t>
  </si>
  <si>
    <t>Nguồn ưu tiên</t>
  </si>
  <si>
    <t>Cú pháp</t>
  </si>
  <si>
    <t>Không hiểu khái niệm</t>
  </si>
  <si>
    <t>&lt;concept&gt; JavaScript MDN guide examples</t>
  </si>
  <si>
    <t>Định nghĩa → ví dụ nhỏ → edge case → tự chạy console</t>
  </si>
  <si>
    <t>Blog chỉ đưa snippet không giải thích</t>
  </si>
  <si>
    <t>Debug</t>
  </si>
  <si>
    <t>Gặp thông báo lỗi</t>
  </si>
  <si>
    <t>&lt;exact error message&gt; JavaScript MDN / Stack Overflow</t>
  </si>
  <si>
    <t>Đọc loại lỗi + dòng đầu stack + tạo minimal reproduction</t>
  </si>
  <si>
    <t>Copy fix trước khi hiểu nguyên nhân</t>
  </si>
  <si>
    <t>https://developer.mozilla.org/en-US/docs/Web/JavaScript/Reference/Global_Objects/Error</t>
  </si>
  <si>
    <t>Array</t>
  </si>
  <si>
    <t>Chọn method</t>
  </si>
  <si>
    <t>JavaScript &lt;map/filter/reduce/find/some/every&gt; when to use</t>
  </si>
  <si>
    <t>Input/output, có mutate không, early stop không</t>
  </si>
  <si>
    <t>Dùng reduce cho mọi thứ</t>
  </si>
  <si>
    <t>Update nested data</t>
  </si>
  <si>
    <t>JavaScript immutable nested object update spread shallow copy</t>
  </si>
  <si>
    <t>Phân biệt shallow/deep, giữ reference không đổi ở nhánh không sửa</t>
  </si>
  <si>
    <t>JSON stringify để clone mọi dữ liệu</t>
  </si>
  <si>
    <t>https://developer.mozilla.org/en-US/docs/Glossary/Shallow_copy</t>
  </si>
  <si>
    <t>Closure khó hiểu</t>
  </si>
  <si>
    <t>JavaScript closure lexical scope practical example MDN</t>
  </si>
  <si>
    <t>Vẽ scope chain, dự đoán output rồi chạy</t>
  </si>
  <si>
    <t>Học thuộc định nghĩa không viết ví dụ</t>
  </si>
  <si>
    <t>https://developer.mozilla.org/en-US/docs/Web/JavaScript/Guide/Closures</t>
  </si>
  <si>
    <t>Sai thứ tự log</t>
  </si>
  <si>
    <t>JavaScript event loop microtask macrotask promise setTimeout</t>
  </si>
  <si>
    <t>Vẽ call stack/queues theo từng bước</t>
  </si>
  <si>
    <t>Chỉ nhớ Promise trước timeout</t>
  </si>
  <si>
    <t>https://developer.mozilla.org/en-US/docs/Web/JavaScript/Reference/Execution_model</t>
  </si>
  <si>
    <t>Nhiều request</t>
  </si>
  <si>
    <t>Promise.all vs allSettled fail fast use cases</t>
  </si>
  <si>
    <t>So sánh error semantics và thứ tự kết quả</t>
  </si>
  <si>
    <t>Chạy tuần tự không cần thiết</t>
  </si>
  <si>
    <t>https://developer.mozilla.org/en-US/docs/Web/JavaScript/Reference/Global_Objects/Promise</t>
  </si>
  <si>
    <t>Fetch</t>
  </si>
  <si>
    <t>API trả 404 không vào catch</t>
  </si>
  <si>
    <t>fetch does not reject HTTP error response ok MDN</t>
  </si>
  <si>
    <t>Kiểm tra response.ok/status trước parse</t>
  </si>
  <si>
    <t>Catch chung và báo Network error sai</t>
  </si>
  <si>
    <t>Không hiểu endpoint</t>
  </si>
  <si>
    <t>HTTP method status code REST CRUD MDN</t>
  </si>
  <si>
    <t>Map use case → method → status → body</t>
  </si>
  <si>
    <t>Mặc định mọi request là POST</t>
  </si>
  <si>
    <t>https://developer.mozilla.org/en-US/docs/Web/HTTP</t>
  </si>
  <si>
    <t>Render dữ liệu user</t>
  </si>
  <si>
    <t>textContent vs innerHTML XSS MDN</t>
  </si>
  <si>
    <t>Ưu tiên textContent/createElement, sanitize nếu bắt buộc HTML</t>
  </si>
  <si>
    <t>Nhét input vào innerHTML</t>
  </si>
  <si>
    <t>https://developer.mozilla.org/en-US/docs/Web/API/Node/textContent</t>
  </si>
  <si>
    <t>Click item động không chạy</t>
  </si>
  <si>
    <t>JavaScript event delegation bubbling target closest</t>
  </si>
  <si>
    <t>Listener ở ancestor + closest + contains guard</t>
  </si>
  <si>
    <t>Gắn lại listener sau mỗi render</t>
  </si>
  <si>
    <t>https://developer.mozilla.org/en-US/docs/Learn_web_development/Core/Scripting/Event_bubbling</t>
  </si>
  <si>
    <t>Modules</t>
  </si>
  <si>
    <t>Import lỗi</t>
  </si>
  <si>
    <t>JavaScript modules import export default named browser type module</t>
  </si>
  <si>
    <t>Kiểm tra export kind/path/extension/circular dependency</t>
  </si>
  <si>
    <t>Đổi ngẫu nhiên default/named</t>
  </si>
  <si>
    <t>Component render lại</t>
  </si>
  <si>
    <t>what causes a React component to render official docs</t>
  </si>
  <si>
    <t>State update, parent render, context; dùng Profiler</t>
  </si>
  <si>
    <t>Rải React.memo khắp nơi</t>
  </si>
  <si>
    <t>https://react.dev/learn/render-and-commit</t>
  </si>
  <si>
    <t>State cập nhật trễ</t>
  </si>
  <si>
    <t>React state as a snapshot batching updater function</t>
  </si>
  <si>
    <t>Đọc snapshot của render hiện tại; dùng functional updater khi phụ thuộc trước</t>
  </si>
  <si>
    <t>Dùng setTimeout để chờ state</t>
  </si>
  <si>
    <t>https://react.dev/learn/state-as-a-snapshot</t>
  </si>
  <si>
    <t>Update array/object</t>
  </si>
  <si>
    <t>React updating arrays objects in state</t>
  </si>
  <si>
    <t>Tạo reference mới cho phần thay đổi, không mutate</t>
  </si>
  <si>
    <t>push/splice trực tiếp state</t>
  </si>
  <si>
    <t>https://react.dev/learn/updating-arrays-in-state</t>
  </si>
  <si>
    <t>Key warning/bug reorder</t>
  </si>
  <si>
    <t>React rendering lists keys stable identity index</t>
  </si>
  <si>
    <t>Key từ dữ liệu, stable giữa render, unique trong sibling</t>
  </si>
  <si>
    <t>Math.random hoặc index cho list reorder</t>
  </si>
  <si>
    <t>Không biết đặt state đâu</t>
  </si>
  <si>
    <t>React state colocation lifting state single source of truth</t>
  </si>
  <si>
    <t>Tìm common owner nhỏ nhất và dữ liệu derived</t>
  </si>
  <si>
    <t>Đưa hết vào Context</t>
  </si>
  <si>
    <t>Effect chạy lặp</t>
  </si>
  <si>
    <t>React useEffect infinite loop dependencies official</t>
  </si>
  <si>
    <t>Tìm state update trong Effect + dependency đổi mỗi render</t>
  </si>
  <si>
    <t>Xóa dependency/lint rule</t>
  </si>
  <si>
    <t>Có cần Effect không</t>
  </si>
  <si>
    <t>React you might not need an effect derived state event handler</t>
  </si>
  <si>
    <t>Nếu không sync external system, tính khi render/handle event</t>
  </si>
  <si>
    <t>Sync props sang state máy móc</t>
  </si>
  <si>
    <t>https://react.dev/learn/you-might-not-need-an-effect</t>
  </si>
  <si>
    <t>Fetch bị race</t>
  </si>
  <si>
    <t>React effect fetch cleanup ignore AbortController race condition</t>
  </si>
  <si>
    <t>Cleanup request cũ hoặc dùng query library</t>
  </si>
  <si>
    <t>Chấp nhận response đến sau ghi đè</t>
  </si>
  <si>
    <t>Custom Hook</t>
  </si>
  <si>
    <t>React custom hooks reuse stateful logic naming contract</t>
  </si>
  <si>
    <t>Input/output rõ, hook tự chứa cleanup, không giấu workflow khó đoán</t>
  </si>
  <si>
    <t>Tạo hook chỉ để bọc một dòng</t>
  </si>
  <si>
    <t>Context re-render</t>
  </si>
  <si>
    <t>React context rerender provider value memo split contexts</t>
  </si>
  <si>
    <t>Đo trước; split provider theo concern; stable value khi cần</t>
  </si>
  <si>
    <t>Tạo một AppContext chứa mọi thứ</t>
  </si>
  <si>
    <t>https://react.dev/reference/react/useContext</t>
  </si>
  <si>
    <t>URL params/filter</t>
  </si>
  <si>
    <t>React Router useParams useSearchParams nested routes</t>
  </si>
  <si>
    <t>URL là state chia sẻ/bookmark; validate params</t>
  </si>
  <si>
    <t>Giữ filter chỉ trong local state</t>
  </si>
  <si>
    <t>Cache không cập nhật</t>
  </si>
  <si>
    <t>TanStack Query invalidateQueries mutation queryKey</t>
  </si>
  <si>
    <t>Query key nhất quán; invalidate/refetch đúng scope</t>
  </si>
  <si>
    <t>Copy query data vào Context</t>
  </si>
  <si>
    <t>Không biết query element</t>
  </si>
  <si>
    <t>Testing Library query priority getByRole getByLabelText</t>
  </si>
  <si>
    <t>Query như người dùng; test behavior</t>
  </si>
  <si>
    <t>data-testid cho mọi thứ</t>
  </si>
  <si>
    <t>https://testing-library.com/docs/queries/about/</t>
  </si>
  <si>
    <t>Async test flaky</t>
  </si>
  <si>
    <t>Testing Library findBy waitFor user-event async</t>
  </si>
  <si>
    <t>await user action; findBy cho xuất hiện; tránh timer thật</t>
  </si>
  <si>
    <t>sleep cứng trong test</t>
  </si>
  <si>
    <t>https://testing-library.com/docs/dom-testing-library/api-async/</t>
  </si>
  <si>
    <t>App chậm</t>
  </si>
  <si>
    <t>React Profiler measure render performance official</t>
  </si>
  <si>
    <t>Đo component/interaction; tìm work đắt; so trước/sau</t>
  </si>
  <si>
    <t>Tối ưu theo cảm giác</t>
  </si>
  <si>
    <t>https://react.dev/reference/react/Profiler</t>
  </si>
  <si>
    <t>Modal/form</t>
  </si>
  <si>
    <t>accessible modal focus trap label keyboard ARIA APG</t>
  </si>
  <si>
    <t>Semantic trước; focus enter/return; Escape; label; keyboard</t>
  </si>
  <si>
    <t>Chỉ thêm role mà không có hành vi</t>
  </si>
  <si>
    <t>https://www.w3.org/WAI/ARIA/apg/</t>
  </si>
  <si>
    <t>Render HTML</t>
  </si>
  <si>
    <t>React dangerouslySetInnerHTML XSS sanitization OWASP</t>
  </si>
  <si>
    <t>Tránh HTML không tin cậy; sanitize bằng giải pháp phù hợp</t>
  </si>
  <si>
    <t>Tin dữ liệu từ API luôn an toàn</t>
  </si>
  <si>
    <t>https://owasp.org/www-community/attacks/xss/</t>
  </si>
  <si>
    <t>PR quá lớn</t>
  </si>
  <si>
    <t>frontend pull request review checklist correctness readability tests</t>
  </si>
  <si>
    <t>Review theo risk; comment có severity + lý do + gợi ý</t>
  </si>
  <si>
    <t>Chỉ bắt style/naming</t>
  </si>
  <si>
    <t>https://google.github.io/eng-practices/review/reviewer/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</si>
</sst>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&quot;%&quot;"/>
    <numFmt numFmtId="180" formatCode="yyyy\-mm\-dd"/>
  </numFmts>
  <fonts count="50">
    <font>
      <sz val="11"/>
      <name val="Carlito"/>
      <charset val="134"/>
    </font>
    <font>
      <b/>
      <sz val="22"/>
      <color rgb="FFFFFFFF"/>
      <name val="Aptos Display"/>
      <charset val="134"/>
    </font>
    <font>
      <sz val="10"/>
      <color rgb="FFFFFFFF"/>
      <name val="Aptos"/>
      <charset val="134"/>
    </font>
    <font>
      <sz val="10"/>
      <color rgb="FF0F172A"/>
      <name val="Aptos"/>
      <charset val="134"/>
    </font>
    <font>
      <b/>
      <sz val="10"/>
      <color rgb="FFFFFFFF"/>
      <name val="Aptos"/>
      <charset val="134"/>
    </font>
    <font>
      <sz val="9"/>
      <color rgb="FF0F172A"/>
      <name val="Aptos"/>
      <charset val="134"/>
    </font>
    <font>
      <b/>
      <sz val="9"/>
      <color rgb="FF64748B"/>
      <name val="Aptos"/>
      <charset val="134"/>
    </font>
    <font>
      <b/>
      <sz val="22"/>
      <color rgb="FFEA580C"/>
      <name val="Aptos"/>
      <charset val="134"/>
    </font>
    <font>
      <b/>
      <sz val="22"/>
      <color rgb="FF7C3AED"/>
      <name val="Aptos"/>
      <charset val="134"/>
    </font>
    <font>
      <b/>
      <sz val="11"/>
      <color rgb="FFEA580C"/>
      <name val="Aptos"/>
      <charset val="134"/>
    </font>
    <font>
      <b/>
      <sz val="10"/>
      <color rgb="FF9A3412"/>
      <name val="Aptos"/>
      <charset val="134"/>
    </font>
    <font>
      <b/>
      <sz val="22"/>
      <color rgb="FF2563EB"/>
      <name val="Aptos"/>
      <charset val="134"/>
    </font>
    <font>
      <b/>
      <sz val="22"/>
      <color rgb="FF16A34A"/>
      <name val="Aptos"/>
      <charset val="134"/>
    </font>
    <font>
      <b/>
      <sz val="22"/>
      <color rgb="FFF59E0B"/>
      <name val="Aptos"/>
      <charset val="134"/>
    </font>
    <font>
      <b/>
      <sz val="10"/>
      <color rgb="FF7C3AED"/>
      <name val="Aptos"/>
      <charset val="134"/>
    </font>
    <font>
      <b/>
      <sz val="13"/>
      <color rgb="FFFFFFFF"/>
      <name val="Aptos"/>
      <charset val="134"/>
    </font>
    <font>
      <b/>
      <sz val="9"/>
      <color rgb="FF7C3AED"/>
      <name val="Aptos"/>
      <charset val="134"/>
    </font>
    <font>
      <sz val="9"/>
      <color rgb="FF2563EB"/>
      <name val="Aptos"/>
      <charset val="134"/>
    </font>
    <font>
      <b/>
      <sz val="10"/>
      <color rgb="FFEA580C"/>
      <name val="Aptos"/>
      <charset val="134"/>
    </font>
    <font>
      <b/>
      <sz val="9"/>
      <color rgb="FFEA580C"/>
      <name val="Aptos"/>
      <charset val="134"/>
    </font>
    <font>
      <b/>
      <sz val="10"/>
      <color rgb="FF0D9488"/>
      <name val="Aptos"/>
      <charset val="134"/>
    </font>
    <font>
      <b/>
      <sz val="9"/>
      <color rgb="FF0D9488"/>
      <name val="Aptos"/>
      <charset val="134"/>
    </font>
    <font>
      <b/>
      <sz val="10"/>
      <color rgb="FF2563EB"/>
      <name val="Aptos"/>
      <charset val="134"/>
    </font>
    <font>
      <b/>
      <sz val="9"/>
      <color rgb="FF2563EB"/>
      <name val="Aptos"/>
      <charset val="134"/>
    </font>
    <font>
      <i/>
      <sz val="10"/>
      <color rgb="FF92400E"/>
      <name val="Aptos"/>
      <charset val="134"/>
    </font>
    <font>
      <b/>
      <sz val="11"/>
      <color rgb="FF2563EB"/>
      <name val="Aptos"/>
      <charset val="134"/>
    </font>
    <font>
      <b/>
      <sz val="11"/>
      <color rgb="FF0D9488"/>
      <name val="Aptos"/>
      <charset val="134"/>
    </font>
    <font>
      <b/>
      <sz val="11"/>
      <color rgb="FF7C3AED"/>
      <name val="Aptos"/>
      <charset val="134"/>
    </font>
    <font>
      <b/>
      <sz val="12"/>
      <color rgb="FF7C3AED"/>
      <name val="Aptos"/>
      <charset val="134"/>
    </font>
    <font>
      <b/>
      <sz val="10"/>
      <color rgb="FF92400E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B1220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8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medium">
        <color rgb="FFEA580C"/>
      </top>
      <bottom/>
      <diagonal/>
    </border>
    <border>
      <left/>
      <right/>
      <top style="medium">
        <color rgb="FFEA580C"/>
      </top>
      <bottom/>
      <diagonal/>
    </border>
    <border>
      <left/>
      <right style="thin">
        <color rgb="FFE2E8F0"/>
      </right>
      <top style="medium">
        <color rgb="FFEA580C"/>
      </top>
      <bottom/>
      <diagonal/>
    </border>
    <border>
      <left style="thin">
        <color rgb="FFE2E8F0"/>
      </left>
      <right/>
      <top style="medium">
        <color rgb="FF7C3AED"/>
      </top>
      <bottom/>
      <diagonal/>
    </border>
    <border>
      <left/>
      <right/>
      <top style="medium">
        <color rgb="FF7C3AED"/>
      </top>
      <bottom/>
      <diagonal/>
    </border>
    <border>
      <left/>
      <right style="thin">
        <color rgb="FFE2E8F0"/>
      </right>
      <top style="medium">
        <color rgb="FF7C3AED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/>
      <right/>
      <top/>
      <bottom style="medium">
        <color rgb="FFEA580C"/>
      </bottom>
      <diagonal/>
    </border>
    <border>
      <left style="thin">
        <color rgb="FFFED7AA"/>
      </left>
      <right/>
      <top style="thin">
        <color rgb="FFFED7AA"/>
      </top>
      <bottom style="thin">
        <color rgb="FFFED7AA"/>
      </bottom>
      <diagonal/>
    </border>
    <border>
      <left/>
      <right/>
      <top style="thin">
        <color rgb="FFFED7AA"/>
      </top>
      <bottom style="thin">
        <color rgb="FFFED7AA"/>
      </bottom>
      <diagonal/>
    </border>
    <border>
      <left/>
      <right style="thin">
        <color rgb="FFFED7AA"/>
      </right>
      <top style="thin">
        <color rgb="FFFED7AA"/>
      </top>
      <bottom style="thin">
        <color rgb="FFFED7AA"/>
      </bottom>
      <diagonal/>
    </border>
    <border>
      <left style="thin">
        <color rgb="FFE2E8F0"/>
      </left>
      <right/>
      <top style="medium">
        <color rgb="FF2563EB"/>
      </top>
      <bottom/>
      <diagonal/>
    </border>
    <border>
      <left/>
      <right style="thin">
        <color rgb="FFE2E8F0"/>
      </right>
      <top style="medium">
        <color rgb="FF2563EB"/>
      </top>
      <bottom/>
      <diagonal/>
    </border>
    <border>
      <left style="thin">
        <color rgb="FFE2E8F0"/>
      </left>
      <right/>
      <top style="medium">
        <color rgb="FF16A34A"/>
      </top>
      <bottom/>
      <diagonal/>
    </border>
    <border>
      <left/>
      <right style="thin">
        <color rgb="FFE2E8F0"/>
      </right>
      <top style="medium">
        <color rgb="FF16A34A"/>
      </top>
      <bottom/>
      <diagonal/>
    </border>
    <border>
      <left style="thin">
        <color rgb="FFE2E8F0"/>
      </left>
      <right/>
      <top style="medium">
        <color rgb="FFF59E0B"/>
      </top>
      <bottom/>
      <diagonal/>
    </border>
    <border>
      <left/>
      <right style="thin">
        <color rgb="FFE2E8F0"/>
      </right>
      <top style="medium">
        <color rgb="FFF59E0B"/>
      </top>
      <bottom/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7C3AED"/>
      </left>
      <right/>
      <top style="thin">
        <color rgb="FF7C3AED"/>
      </top>
      <bottom/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 style="thin">
        <color rgb="FF7C3AED"/>
      </left>
      <right/>
      <top/>
      <bottom style="thin">
        <color rgb="FFE2E8F0"/>
      </bottom>
      <diagonal/>
    </border>
    <border>
      <left/>
      <right style="thin">
        <color rgb="FF7C3AED"/>
      </right>
      <top/>
      <bottom style="thin">
        <color rgb="FFE2E8F0"/>
      </bottom>
      <diagonal/>
    </border>
    <border>
      <left style="thin">
        <color rgb="FF7C3AED"/>
      </left>
      <right/>
      <top/>
      <bottom style="thin">
        <color rgb="FF7C3AED"/>
      </bottom>
      <diagonal/>
    </border>
    <border>
      <left/>
      <right/>
      <top/>
      <bottom style="thin">
        <color rgb="FF7C3AED"/>
      </bottom>
      <diagonal/>
    </border>
    <border>
      <left/>
      <right style="thin">
        <color rgb="FF7C3AED"/>
      </right>
      <top/>
      <bottom style="thin">
        <color rgb="FF7C3AED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2E8F0"/>
      </bottom>
      <diagonal/>
    </border>
    <border>
      <left/>
      <right style="thin">
        <color rgb="FFEA580C"/>
      </right>
      <top/>
      <bottom style="thin">
        <color rgb="FFE2E8F0"/>
      </bottom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0D9488"/>
      </left>
      <right/>
      <top style="thin">
        <color rgb="FF0D9488"/>
      </top>
      <bottom style="thin">
        <color rgb="FF0D9488"/>
      </bottom>
      <diagonal/>
    </border>
    <border>
      <left/>
      <right/>
      <top style="thin">
        <color rgb="FF0D9488"/>
      </top>
      <bottom style="thin">
        <color rgb="FF0D9488"/>
      </bottom>
      <diagonal/>
    </border>
    <border>
      <left/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0D9488"/>
      </left>
      <right/>
      <top style="thin">
        <color rgb="FF0D9488"/>
      </top>
      <bottom/>
      <diagonal/>
    </border>
    <border>
      <left/>
      <right/>
      <top style="thin">
        <color rgb="FF0D9488"/>
      </top>
      <bottom/>
      <diagonal/>
    </border>
    <border>
      <left/>
      <right style="thin">
        <color rgb="FF0D9488"/>
      </right>
      <top style="thin">
        <color rgb="FF0D9488"/>
      </top>
      <bottom/>
      <diagonal/>
    </border>
    <border>
      <left style="thin">
        <color rgb="FF0D9488"/>
      </left>
      <right/>
      <top/>
      <bottom style="thin">
        <color rgb="FFE2E8F0"/>
      </bottom>
      <diagonal/>
    </border>
    <border>
      <left/>
      <right style="thin">
        <color rgb="FF0D9488"/>
      </right>
      <top/>
      <bottom style="thin">
        <color rgb="FFE2E8F0"/>
      </bottom>
      <diagonal/>
    </border>
    <border>
      <left style="thin">
        <color rgb="FF0D9488"/>
      </left>
      <right/>
      <top/>
      <bottom style="thin">
        <color rgb="FF0D9488"/>
      </bottom>
      <diagonal/>
    </border>
    <border>
      <left/>
      <right/>
      <top/>
      <bottom style="thin">
        <color rgb="FF0D9488"/>
      </bottom>
      <diagonal/>
    </border>
    <border>
      <left/>
      <right style="thin">
        <color rgb="FF0D9488"/>
      </right>
      <top/>
      <bottom style="thin">
        <color rgb="FF0D948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2563EB"/>
      </left>
      <right/>
      <top/>
      <bottom style="thin">
        <color rgb="FFE2E8F0"/>
      </bottom>
      <diagonal/>
    </border>
    <border>
      <left/>
      <right style="thin">
        <color rgb="FF2563EB"/>
      </right>
      <top/>
      <bottom style="thin">
        <color rgb="FFE2E8F0"/>
      </bottom>
      <diagonal/>
    </border>
    <border>
      <left style="thin">
        <color rgb="FF2563EB"/>
      </left>
      <right/>
      <top/>
      <bottom style="thin">
        <color rgb="FF2563EB"/>
      </bottom>
      <diagonal/>
    </border>
    <border>
      <left/>
      <right/>
      <top/>
      <bottom style="thin">
        <color rgb="FF2563EB"/>
      </bottom>
      <diagonal/>
    </border>
    <border>
      <left/>
      <right style="thin">
        <color rgb="FF2563EB"/>
      </right>
      <top/>
      <bottom style="thin">
        <color rgb="FF2563EB"/>
      </bottom>
      <diagonal/>
    </border>
    <border>
      <left/>
      <right/>
      <top style="medium">
        <color rgb="FF2563EB"/>
      </top>
      <bottom/>
      <diagonal/>
    </border>
    <border>
      <left/>
      <right/>
      <top style="medium">
        <color rgb="FF16A34A"/>
      </top>
      <bottom/>
      <diagonal/>
    </border>
    <border>
      <left/>
      <right/>
      <top style="medium">
        <color rgb="FFF59E0B"/>
      </top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7C3AED"/>
      </bottom>
      <diagonal/>
    </border>
    <border>
      <left style="thin">
        <color rgb="FFDDD6FE"/>
      </left>
      <right/>
      <top style="thin">
        <color rgb="FFDDD6FE"/>
      </top>
      <bottom/>
      <diagonal/>
    </border>
    <border>
      <left/>
      <right/>
      <top style="thin">
        <color rgb="FFDDD6FE"/>
      </top>
      <bottom/>
      <diagonal/>
    </border>
    <border>
      <left/>
      <right style="thin">
        <color rgb="FFDDD6FE"/>
      </right>
      <top style="thin">
        <color rgb="FFDDD6FE"/>
      </top>
      <bottom/>
      <diagonal/>
    </border>
    <border>
      <left style="thin">
        <color rgb="FFDDD6FE"/>
      </left>
      <right/>
      <top/>
      <bottom/>
      <diagonal/>
    </border>
    <border>
      <left/>
      <right style="thin">
        <color rgb="FFDDD6FE"/>
      </right>
      <top/>
      <bottom/>
      <diagonal/>
    </border>
    <border>
      <left style="thin">
        <color rgb="FFDDD6FE"/>
      </left>
      <right/>
      <top/>
      <bottom style="thin">
        <color rgb="FFDDD6FE"/>
      </bottom>
      <diagonal/>
    </border>
    <border>
      <left/>
      <right/>
      <top/>
      <bottom style="thin">
        <color rgb="FFDDD6FE"/>
      </bottom>
      <diagonal/>
    </border>
    <border>
      <left/>
      <right style="thin">
        <color rgb="FFDDD6FE"/>
      </right>
      <top/>
      <bottom style="thin">
        <color rgb="FFDDD6FE"/>
      </bottom>
      <diagonal/>
    </border>
    <border>
      <left style="thin">
        <color rgb="FFFDE68A"/>
      </left>
      <right/>
      <top style="thin">
        <color rgb="FFFDE68A"/>
      </top>
      <bottom/>
      <diagonal/>
    </border>
    <border>
      <left/>
      <right/>
      <top style="thin">
        <color rgb="FFFDE68A"/>
      </top>
      <bottom/>
      <diagonal/>
    </border>
    <border>
      <left/>
      <right style="thin">
        <color rgb="FFFDE68A"/>
      </right>
      <top style="thin">
        <color rgb="FFFDE68A"/>
      </top>
      <bottom/>
      <diagonal/>
    </border>
    <border>
      <left style="thin">
        <color rgb="FFFDE68A"/>
      </left>
      <right/>
      <top/>
      <bottom style="thin">
        <color rgb="FFFDE68A"/>
      </bottom>
      <diagonal/>
    </border>
    <border>
      <left/>
      <right/>
      <top/>
      <bottom style="thin">
        <color rgb="FFFDE68A"/>
      </bottom>
      <diagonal/>
    </border>
    <border>
      <left/>
      <right style="thin">
        <color rgb="FFFDE68A"/>
      </right>
      <top/>
      <bottom style="thin">
        <color rgb="FFFDE68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5" borderId="9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91" applyNumberFormat="0" applyFill="0" applyAlignment="0" applyProtection="0">
      <alignment vertical="center"/>
    </xf>
    <xf numFmtId="0" fontId="37" fillId="0" borderId="91" applyNumberFormat="0" applyFill="0" applyAlignment="0" applyProtection="0">
      <alignment vertical="center"/>
    </xf>
    <xf numFmtId="0" fontId="38" fillId="0" borderId="9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6" borderId="93" applyNumberFormat="0" applyAlignment="0" applyProtection="0">
      <alignment vertical="center"/>
    </xf>
    <xf numFmtId="0" fontId="40" fillId="17" borderId="94" applyNumberFormat="0" applyAlignment="0" applyProtection="0">
      <alignment vertical="center"/>
    </xf>
    <xf numFmtId="0" fontId="41" fillId="17" borderId="93" applyNumberFormat="0" applyAlignment="0" applyProtection="0">
      <alignment vertical="center"/>
    </xf>
    <xf numFmtId="0" fontId="42" fillId="18" borderId="95" applyNumberFormat="0" applyAlignment="0" applyProtection="0">
      <alignment vertical="center"/>
    </xf>
    <xf numFmtId="0" fontId="43" fillId="0" borderId="96" applyNumberFormat="0" applyFill="0" applyAlignment="0" applyProtection="0">
      <alignment vertical="center"/>
    </xf>
    <xf numFmtId="0" fontId="44" fillId="0" borderId="97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</cellStyleXfs>
  <cellXfs count="219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vertical="top" wrapText="1"/>
    </xf>
    <xf numFmtId="0" fontId="5" fillId="6" borderId="5" xfId="0" applyNumberFormat="1" applyFont="1" applyFill="1" applyBorder="1" applyAlignment="1">
      <alignment vertical="top" wrapText="1"/>
    </xf>
    <xf numFmtId="0" fontId="5" fillId="7" borderId="5" xfId="0" applyNumberFormat="1" applyFont="1" applyFill="1" applyBorder="1" applyAlignment="1">
      <alignment vertical="top" wrapText="1"/>
    </xf>
    <xf numFmtId="0" fontId="5" fillId="8" borderId="5" xfId="0" applyNumberFormat="1" applyFont="1" applyFill="1" applyBorder="1" applyAlignment="1">
      <alignment vertical="top" wrapText="1"/>
    </xf>
    <xf numFmtId="0" fontId="5" fillId="4" borderId="6" xfId="0" applyNumberFormat="1" applyFont="1" applyFill="1" applyBorder="1" applyAlignment="1">
      <alignment vertical="top" wrapText="1"/>
    </xf>
    <xf numFmtId="0" fontId="5" fillId="6" borderId="6" xfId="0" applyNumberFormat="1" applyFont="1" applyFill="1" applyBorder="1" applyAlignment="1">
      <alignment vertical="top" wrapText="1"/>
    </xf>
    <xf numFmtId="0" fontId="5" fillId="7" borderId="6" xfId="0" applyNumberFormat="1" applyFont="1" applyFill="1" applyBorder="1" applyAlignment="1">
      <alignment vertical="top" wrapText="1"/>
    </xf>
    <xf numFmtId="0" fontId="5" fillId="8" borderId="6" xfId="0" applyNumberFormat="1" applyFont="1" applyFill="1" applyBorder="1" applyAlignment="1">
      <alignment vertical="top" wrapText="1"/>
    </xf>
    <xf numFmtId="0" fontId="5" fillId="4" borderId="7" xfId="0" applyNumberFormat="1" applyFont="1" applyFill="1" applyBorder="1" applyAlignment="1">
      <alignment vertical="top" wrapText="1"/>
    </xf>
    <xf numFmtId="0" fontId="5" fillId="6" borderId="7" xfId="0" applyNumberFormat="1" applyFont="1" applyFill="1" applyBorder="1" applyAlignment="1">
      <alignment vertical="top" wrapText="1"/>
    </xf>
    <xf numFmtId="0" fontId="5" fillId="7" borderId="7" xfId="0" applyNumberFormat="1" applyFont="1" applyFill="1" applyBorder="1" applyAlignment="1">
      <alignment vertical="top" wrapText="1"/>
    </xf>
    <xf numFmtId="0" fontId="5" fillId="8" borderId="7" xfId="0" applyNumberFormat="1" applyFont="1" applyFill="1" applyBorder="1" applyAlignment="1">
      <alignment vertical="top" wrapText="1"/>
    </xf>
    <xf numFmtId="0" fontId="2" fillId="9" borderId="0" xfId="0" applyNumberFormat="1" applyFont="1" applyFill="1" applyBorder="1" applyAlignment="1">
      <alignment vertical="center" wrapText="1"/>
    </xf>
    <xf numFmtId="0" fontId="6" fillId="5" borderId="8" xfId="0" applyNumberFormat="1" applyFont="1" applyFill="1" applyBorder="1" applyAlignment="1">
      <alignment horizontal="center" vertical="center"/>
    </xf>
    <xf numFmtId="0" fontId="6" fillId="5" borderId="9" xfId="0" applyNumberFormat="1" applyFont="1" applyFill="1" applyBorder="1" applyAlignment="1">
      <alignment horizontal="center" vertical="center"/>
    </xf>
    <xf numFmtId="0" fontId="6" fillId="5" borderId="10" xfId="0" applyNumberFormat="1" applyFont="1" applyFill="1" applyBorder="1" applyAlignment="1">
      <alignment horizontal="center" vertical="center"/>
    </xf>
    <xf numFmtId="0" fontId="6" fillId="5" borderId="11" xfId="0" applyNumberFormat="1" applyFont="1" applyFill="1" applyBorder="1" applyAlignment="1">
      <alignment horizontal="center" vertical="center"/>
    </xf>
    <xf numFmtId="0" fontId="6" fillId="5" borderId="12" xfId="0" applyNumberFormat="1" applyFont="1" applyFill="1" applyBorder="1" applyAlignment="1">
      <alignment horizontal="center" vertical="center"/>
    </xf>
    <xf numFmtId="0" fontId="6" fillId="5" borderId="13" xfId="0" applyNumberFormat="1" applyFont="1" applyFill="1" applyBorder="1" applyAlignment="1">
      <alignment horizontal="center" vertical="center"/>
    </xf>
    <xf numFmtId="178" fontId="7" fillId="4" borderId="14" xfId="0" applyNumberFormat="1" applyFont="1" applyFill="1" applyBorder="1" applyAlignment="1">
      <alignment horizontal="center" vertical="center"/>
    </xf>
    <xf numFmtId="0" fontId="7" fillId="4" borderId="0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>
      <alignment horizontal="center" vertical="center"/>
    </xf>
    <xf numFmtId="49" fontId="8" fillId="4" borderId="14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center" vertical="center"/>
    </xf>
    <xf numFmtId="0" fontId="8" fillId="4" borderId="15" xfId="0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7" fillId="4" borderId="5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/>
    </xf>
    <xf numFmtId="0" fontId="8" fillId="4" borderId="5" xfId="0" applyNumberFormat="1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0" fontId="9" fillId="5" borderId="16" xfId="0" applyNumberFormat="1" applyFont="1" applyFill="1" applyBorder="1" applyAlignment="1">
      <alignment vertical="center"/>
    </xf>
    <xf numFmtId="0" fontId="10" fillId="10" borderId="17" xfId="0" applyNumberFormat="1" applyFont="1" applyFill="1" applyBorder="1" applyAlignment="1">
      <alignment horizontal="center" vertical="center" wrapText="1"/>
    </xf>
    <xf numFmtId="0" fontId="10" fillId="10" borderId="18" xfId="0" applyNumberFormat="1" applyFont="1" applyFill="1" applyBorder="1" applyAlignment="1">
      <alignment horizontal="center" vertical="center" wrapText="1"/>
    </xf>
    <xf numFmtId="0" fontId="10" fillId="10" borderId="19" xfId="0" applyNumberFormat="1" applyFont="1" applyFill="1" applyBorder="1" applyAlignment="1">
      <alignment horizontal="center" vertical="center" wrapText="1"/>
    </xf>
    <xf numFmtId="179" fontId="5" fillId="4" borderId="5" xfId="0" applyNumberFormat="1" applyFont="1" applyFill="1" applyBorder="1" applyAlignment="1">
      <alignment vertical="top" wrapText="1"/>
    </xf>
    <xf numFmtId="0" fontId="5" fillId="11" borderId="5" xfId="0" applyNumberFormat="1" applyFont="1" applyFill="1" applyBorder="1" applyAlignment="1">
      <alignment vertical="top" wrapText="1"/>
    </xf>
    <xf numFmtId="178" fontId="5" fillId="4" borderId="5" xfId="0" applyNumberFormat="1" applyFont="1" applyFill="1" applyBorder="1" applyAlignment="1">
      <alignment vertical="top" wrapText="1"/>
    </xf>
    <xf numFmtId="179" fontId="5" fillId="4" borderId="6" xfId="0" applyNumberFormat="1" applyFont="1" applyFill="1" applyBorder="1" applyAlignment="1">
      <alignment vertical="top" wrapText="1"/>
    </xf>
    <xf numFmtId="0" fontId="5" fillId="11" borderId="6" xfId="0" applyNumberFormat="1" applyFont="1" applyFill="1" applyBorder="1" applyAlignment="1">
      <alignment vertical="top" wrapText="1"/>
    </xf>
    <xf numFmtId="178" fontId="5" fillId="4" borderId="6" xfId="0" applyNumberFormat="1" applyFont="1" applyFill="1" applyBorder="1" applyAlignment="1">
      <alignment vertical="top" wrapText="1"/>
    </xf>
    <xf numFmtId="179" fontId="5" fillId="4" borderId="7" xfId="0" applyNumberFormat="1" applyFont="1" applyFill="1" applyBorder="1" applyAlignment="1">
      <alignment vertical="top" wrapText="1"/>
    </xf>
    <xf numFmtId="0" fontId="5" fillId="11" borderId="7" xfId="0" applyNumberFormat="1" applyFont="1" applyFill="1" applyBorder="1" applyAlignment="1">
      <alignment vertical="top" wrapText="1"/>
    </xf>
    <xf numFmtId="178" fontId="5" fillId="4" borderId="7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/>
    </xf>
    <xf numFmtId="0" fontId="2" fillId="12" borderId="0" xfId="0" applyNumberFormat="1" applyFont="1" applyFill="1" applyBorder="1" applyAlignment="1">
      <alignment vertical="center" wrapText="1"/>
    </xf>
    <xf numFmtId="0" fontId="6" fillId="5" borderId="20" xfId="0" applyNumberFormat="1" applyFont="1" applyFill="1" applyBorder="1" applyAlignment="1">
      <alignment horizontal="center" vertical="center"/>
    </xf>
    <xf numFmtId="0" fontId="6" fillId="5" borderId="21" xfId="0" applyNumberFormat="1" applyFont="1" applyFill="1" applyBorder="1" applyAlignment="1">
      <alignment horizontal="center" vertical="center"/>
    </xf>
    <xf numFmtId="0" fontId="6" fillId="5" borderId="22" xfId="0" applyNumberFormat="1" applyFont="1" applyFill="1" applyBorder="1" applyAlignment="1">
      <alignment horizontal="center" vertical="center"/>
    </xf>
    <xf numFmtId="0" fontId="6" fillId="5" borderId="23" xfId="0" applyNumberFormat="1" applyFont="1" applyFill="1" applyBorder="1" applyAlignment="1">
      <alignment horizontal="center" vertical="center"/>
    </xf>
    <xf numFmtId="0" fontId="6" fillId="5" borderId="24" xfId="0" applyNumberFormat="1" applyFont="1" applyFill="1" applyBorder="1" applyAlignment="1">
      <alignment horizontal="center" vertical="center"/>
    </xf>
    <xf numFmtId="0" fontId="6" fillId="5" borderId="25" xfId="0" applyNumberFormat="1" applyFont="1" applyFill="1" applyBorder="1" applyAlignment="1">
      <alignment horizontal="center" vertical="center"/>
    </xf>
    <xf numFmtId="1" fontId="11" fillId="4" borderId="14" xfId="0" applyNumberFormat="1" applyFont="1" applyFill="1" applyBorder="1" applyAlignment="1">
      <alignment horizontal="center" vertical="center"/>
    </xf>
    <xf numFmtId="0" fontId="11" fillId="4" borderId="15" xfId="0" applyNumberFormat="1" applyFont="1" applyFill="1" applyBorder="1" applyAlignment="1">
      <alignment horizontal="center" vertical="center"/>
    </xf>
    <xf numFmtId="1" fontId="12" fillId="4" borderId="14" xfId="0" applyNumberFormat="1" applyFont="1" applyFill="1" applyBorder="1" applyAlignment="1">
      <alignment horizontal="center" vertical="center"/>
    </xf>
    <xf numFmtId="0" fontId="12" fillId="4" borderId="15" xfId="0" applyNumberFormat="1" applyFont="1" applyFill="1" applyBorder="1" applyAlignment="1">
      <alignment horizontal="center" vertical="center"/>
    </xf>
    <xf numFmtId="1" fontId="13" fillId="4" borderId="14" xfId="0" applyNumberFormat="1" applyFont="1" applyFill="1" applyBorder="1" applyAlignment="1">
      <alignment horizontal="center" vertical="center"/>
    </xf>
    <xf numFmtId="0" fontId="13" fillId="4" borderId="15" xfId="0" applyNumberFormat="1" applyFont="1" applyFill="1" applyBorder="1" applyAlignment="1">
      <alignment horizontal="center" vertical="center"/>
    </xf>
    <xf numFmtId="9" fontId="8" fillId="4" borderId="14" xfId="0" applyNumberFormat="1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center" vertical="center"/>
    </xf>
    <xf numFmtId="0" fontId="11" fillId="4" borderId="4" xfId="0" applyNumberFormat="1" applyFont="1" applyFill="1" applyBorder="1" applyAlignment="1">
      <alignment horizontal="center" vertical="center"/>
    </xf>
    <xf numFmtId="0" fontId="12" fillId="4" borderId="3" xfId="0" applyNumberFormat="1" applyFont="1" applyFill="1" applyBorder="1" applyAlignment="1">
      <alignment horizontal="center" vertical="center"/>
    </xf>
    <xf numFmtId="0" fontId="12" fillId="4" borderId="4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4" fillId="13" borderId="26" xfId="0" applyNumberFormat="1" applyFont="1" applyFill="1" applyBorder="1" applyAlignment="1">
      <alignment horizontal="center" vertical="center"/>
    </xf>
    <xf numFmtId="0" fontId="14" fillId="13" borderId="27" xfId="0" applyNumberFormat="1" applyFont="1" applyFill="1" applyBorder="1" applyAlignment="1">
      <alignment horizontal="center" vertical="center"/>
    </xf>
    <xf numFmtId="0" fontId="14" fillId="13" borderId="28" xfId="0" applyNumberFormat="1" applyFont="1" applyFill="1" applyBorder="1" applyAlignment="1">
      <alignment horizontal="center" vertical="center"/>
    </xf>
    <xf numFmtId="0" fontId="15" fillId="12" borderId="29" xfId="0" applyNumberFormat="1" applyFont="1" applyFill="1" applyBorder="1" applyAlignment="1">
      <alignment vertical="center"/>
    </xf>
    <xf numFmtId="0" fontId="15" fillId="12" borderId="30" xfId="0" applyNumberFormat="1" applyFont="1" applyFill="1" applyBorder="1" applyAlignment="1">
      <alignment vertical="center"/>
    </xf>
    <xf numFmtId="0" fontId="15" fillId="12" borderId="31" xfId="0" applyNumberFormat="1" applyFont="1" applyFill="1" applyBorder="1" applyAlignment="1">
      <alignment vertical="center"/>
    </xf>
    <xf numFmtId="0" fontId="6" fillId="5" borderId="32" xfId="0" applyNumberFormat="1" applyFont="1" applyFill="1" applyBorder="1" applyAlignment="1">
      <alignment horizontal="center" vertical="center"/>
    </xf>
    <xf numFmtId="0" fontId="6" fillId="5" borderId="5" xfId="0" applyNumberFormat="1" applyFont="1" applyFill="1" applyBorder="1" applyAlignment="1">
      <alignment horizontal="center" vertical="center"/>
    </xf>
    <xf numFmtId="0" fontId="6" fillId="5" borderId="33" xfId="0" applyNumberFormat="1" applyFont="1" applyFill="1" applyBorder="1" applyAlignment="1">
      <alignment horizontal="center" vertical="center"/>
    </xf>
    <xf numFmtId="0" fontId="16" fillId="5" borderId="32" xfId="0" applyNumberFormat="1" applyFont="1" applyFill="1" applyBorder="1" applyAlignment="1">
      <alignment vertical="top"/>
    </xf>
    <xf numFmtId="0" fontId="16" fillId="5" borderId="5" xfId="0" applyNumberFormat="1" applyFont="1" applyFill="1" applyBorder="1" applyAlignment="1">
      <alignment vertical="top"/>
    </xf>
    <xf numFmtId="0" fontId="3" fillId="4" borderId="5" xfId="0" applyNumberFormat="1" applyFont="1" applyFill="1" applyBorder="1" applyAlignment="1">
      <alignment vertical="top" wrapText="1"/>
    </xf>
    <xf numFmtId="0" fontId="3" fillId="4" borderId="33" xfId="0" applyNumberFormat="1" applyFont="1" applyFill="1" applyBorder="1" applyAlignment="1">
      <alignment vertical="top" wrapText="1"/>
    </xf>
    <xf numFmtId="0" fontId="3" fillId="11" borderId="5" xfId="0" applyNumberFormat="1" applyFont="1" applyFill="1" applyBorder="1" applyAlignment="1">
      <alignment vertical="top" wrapText="1"/>
    </xf>
    <xf numFmtId="0" fontId="3" fillId="11" borderId="33" xfId="0" applyNumberFormat="1" applyFont="1" applyFill="1" applyBorder="1" applyAlignment="1">
      <alignment vertical="top" wrapText="1"/>
    </xf>
    <xf numFmtId="0" fontId="3" fillId="6" borderId="5" xfId="0" applyNumberFormat="1" applyFont="1" applyFill="1" applyBorder="1" applyAlignment="1">
      <alignment vertical="top" wrapText="1"/>
    </xf>
    <xf numFmtId="0" fontId="3" fillId="6" borderId="33" xfId="0" applyNumberFormat="1" applyFont="1" applyFill="1" applyBorder="1" applyAlignment="1">
      <alignment vertical="top" wrapText="1"/>
    </xf>
    <xf numFmtId="0" fontId="3" fillId="8" borderId="5" xfId="0" applyNumberFormat="1" applyFont="1" applyFill="1" applyBorder="1" applyAlignment="1">
      <alignment vertical="top" wrapText="1"/>
    </xf>
    <xf numFmtId="0" fontId="3" fillId="8" borderId="33" xfId="0" applyNumberFormat="1" applyFont="1" applyFill="1" applyBorder="1" applyAlignment="1">
      <alignment vertical="top" wrapText="1"/>
    </xf>
    <xf numFmtId="0" fontId="16" fillId="5" borderId="34" xfId="0" applyNumberFormat="1" applyFont="1" applyFill="1" applyBorder="1" applyAlignment="1">
      <alignment vertical="center"/>
    </xf>
    <xf numFmtId="0" fontId="16" fillId="5" borderId="35" xfId="0" applyNumberFormat="1" applyFont="1" applyFill="1" applyBorder="1" applyAlignment="1">
      <alignment vertical="center"/>
    </xf>
    <xf numFmtId="0" fontId="16" fillId="13" borderId="35" xfId="0" applyNumberFormat="1" applyFont="1" applyFill="1" applyBorder="1" applyAlignment="1">
      <alignment vertical="center" wrapText="1"/>
    </xf>
    <xf numFmtId="0" fontId="17" fillId="13" borderId="35" xfId="0" applyNumberFormat="1" applyFont="1" applyFill="1" applyBorder="1" applyAlignment="1">
      <alignment vertical="center" wrapText="1"/>
    </xf>
    <xf numFmtId="0" fontId="17" fillId="13" borderId="36" xfId="0" applyNumberFormat="1" applyFont="1" applyFill="1" applyBorder="1" applyAlignment="1">
      <alignment vertical="center" wrapText="1"/>
    </xf>
    <xf numFmtId="0" fontId="18" fillId="10" borderId="37" xfId="0" applyNumberFormat="1" applyFont="1" applyFill="1" applyBorder="1" applyAlignment="1">
      <alignment horizontal="center" vertical="center"/>
    </xf>
    <xf numFmtId="0" fontId="18" fillId="10" borderId="38" xfId="0" applyNumberFormat="1" applyFont="1" applyFill="1" applyBorder="1" applyAlignment="1">
      <alignment horizontal="center" vertical="center"/>
    </xf>
    <xf numFmtId="0" fontId="18" fillId="10" borderId="39" xfId="0" applyNumberFormat="1" applyFont="1" applyFill="1" applyBorder="1" applyAlignment="1">
      <alignment horizontal="center" vertical="center"/>
    </xf>
    <xf numFmtId="0" fontId="15" fillId="9" borderId="40" xfId="0" applyNumberFormat="1" applyFont="1" applyFill="1" applyBorder="1" applyAlignment="1">
      <alignment vertical="center"/>
    </xf>
    <xf numFmtId="0" fontId="15" fillId="9" borderId="41" xfId="0" applyNumberFormat="1" applyFont="1" applyFill="1" applyBorder="1" applyAlignment="1">
      <alignment vertical="center"/>
    </xf>
    <xf numFmtId="0" fontId="15" fillId="9" borderId="42" xfId="0" applyNumberFormat="1" applyFont="1" applyFill="1" applyBorder="1" applyAlignment="1">
      <alignment vertical="center"/>
    </xf>
    <xf numFmtId="0" fontId="6" fillId="5" borderId="43" xfId="0" applyNumberFormat="1" applyFont="1" applyFill="1" applyBorder="1" applyAlignment="1">
      <alignment horizontal="center" vertical="center"/>
    </xf>
    <xf numFmtId="0" fontId="6" fillId="5" borderId="44" xfId="0" applyNumberFormat="1" applyFont="1" applyFill="1" applyBorder="1" applyAlignment="1">
      <alignment horizontal="center" vertical="center"/>
    </xf>
    <xf numFmtId="0" fontId="19" fillId="5" borderId="43" xfId="0" applyNumberFormat="1" applyFont="1" applyFill="1" applyBorder="1" applyAlignment="1">
      <alignment vertical="top"/>
    </xf>
    <xf numFmtId="0" fontId="19" fillId="5" borderId="5" xfId="0" applyNumberFormat="1" applyFont="1" applyFill="1" applyBorder="1" applyAlignment="1">
      <alignment vertical="top"/>
    </xf>
    <xf numFmtId="0" fontId="3" fillId="4" borderId="44" xfId="0" applyNumberFormat="1" applyFont="1" applyFill="1" applyBorder="1" applyAlignment="1">
      <alignment vertical="top" wrapText="1"/>
    </xf>
    <xf numFmtId="0" fontId="3" fillId="11" borderId="44" xfId="0" applyNumberFormat="1" applyFont="1" applyFill="1" applyBorder="1" applyAlignment="1">
      <alignment vertical="top" wrapText="1"/>
    </xf>
    <xf numFmtId="0" fontId="3" fillId="6" borderId="44" xfId="0" applyNumberFormat="1" applyFont="1" applyFill="1" applyBorder="1" applyAlignment="1">
      <alignment vertical="top" wrapText="1"/>
    </xf>
    <xf numFmtId="0" fontId="3" fillId="8" borderId="44" xfId="0" applyNumberFormat="1" applyFont="1" applyFill="1" applyBorder="1" applyAlignment="1">
      <alignment vertical="top" wrapText="1"/>
    </xf>
    <xf numFmtId="0" fontId="19" fillId="5" borderId="45" xfId="0" applyNumberFormat="1" applyFont="1" applyFill="1" applyBorder="1" applyAlignment="1">
      <alignment vertical="center"/>
    </xf>
    <xf numFmtId="0" fontId="19" fillId="5" borderId="46" xfId="0" applyNumberFormat="1" applyFont="1" applyFill="1" applyBorder="1" applyAlignment="1">
      <alignment vertical="center"/>
    </xf>
    <xf numFmtId="0" fontId="19" fillId="10" borderId="46" xfId="0" applyNumberFormat="1" applyFont="1" applyFill="1" applyBorder="1" applyAlignment="1">
      <alignment vertical="center" wrapText="1"/>
    </xf>
    <xf numFmtId="0" fontId="17" fillId="10" borderId="46" xfId="0" applyNumberFormat="1" applyFont="1" applyFill="1" applyBorder="1" applyAlignment="1">
      <alignment vertical="center" wrapText="1"/>
    </xf>
    <xf numFmtId="0" fontId="17" fillId="10" borderId="47" xfId="0" applyNumberFormat="1" applyFont="1" applyFill="1" applyBorder="1" applyAlignment="1">
      <alignment vertical="center" wrapText="1"/>
    </xf>
    <xf numFmtId="0" fontId="20" fillId="8" borderId="48" xfId="0" applyNumberFormat="1" applyFont="1" applyFill="1" applyBorder="1" applyAlignment="1">
      <alignment horizontal="center" vertical="center"/>
    </xf>
    <xf numFmtId="0" fontId="20" fillId="8" borderId="49" xfId="0" applyNumberFormat="1" applyFont="1" applyFill="1" applyBorder="1" applyAlignment="1">
      <alignment horizontal="center" vertical="center"/>
    </xf>
    <xf numFmtId="0" fontId="20" fillId="8" borderId="50" xfId="0" applyNumberFormat="1" applyFont="1" applyFill="1" applyBorder="1" applyAlignment="1">
      <alignment horizontal="center" vertical="center"/>
    </xf>
    <xf numFmtId="0" fontId="15" fillId="3" borderId="51" xfId="0" applyNumberFormat="1" applyFont="1" applyFill="1" applyBorder="1" applyAlignment="1">
      <alignment vertical="center"/>
    </xf>
    <xf numFmtId="0" fontId="15" fillId="3" borderId="52" xfId="0" applyNumberFormat="1" applyFont="1" applyFill="1" applyBorder="1" applyAlignment="1">
      <alignment vertical="center"/>
    </xf>
    <xf numFmtId="0" fontId="15" fillId="3" borderId="53" xfId="0" applyNumberFormat="1" applyFont="1" applyFill="1" applyBorder="1" applyAlignment="1">
      <alignment vertical="center"/>
    </xf>
    <xf numFmtId="0" fontId="6" fillId="5" borderId="54" xfId="0" applyNumberFormat="1" applyFont="1" applyFill="1" applyBorder="1" applyAlignment="1">
      <alignment horizontal="center" vertical="center"/>
    </xf>
    <xf numFmtId="0" fontId="6" fillId="5" borderId="55" xfId="0" applyNumberFormat="1" applyFont="1" applyFill="1" applyBorder="1" applyAlignment="1">
      <alignment horizontal="center" vertical="center"/>
    </xf>
    <xf numFmtId="0" fontId="21" fillId="5" borderId="54" xfId="0" applyNumberFormat="1" applyFont="1" applyFill="1" applyBorder="1" applyAlignment="1">
      <alignment vertical="top"/>
    </xf>
    <xf numFmtId="0" fontId="21" fillId="5" borderId="5" xfId="0" applyNumberFormat="1" applyFont="1" applyFill="1" applyBorder="1" applyAlignment="1">
      <alignment vertical="top"/>
    </xf>
    <xf numFmtId="0" fontId="3" fillId="4" borderId="55" xfId="0" applyNumberFormat="1" applyFont="1" applyFill="1" applyBorder="1" applyAlignment="1">
      <alignment vertical="top" wrapText="1"/>
    </xf>
    <xf numFmtId="0" fontId="3" fillId="11" borderId="55" xfId="0" applyNumberFormat="1" applyFont="1" applyFill="1" applyBorder="1" applyAlignment="1">
      <alignment vertical="top" wrapText="1"/>
    </xf>
    <xf numFmtId="0" fontId="3" fillId="6" borderId="55" xfId="0" applyNumberFormat="1" applyFont="1" applyFill="1" applyBorder="1" applyAlignment="1">
      <alignment vertical="top" wrapText="1"/>
    </xf>
    <xf numFmtId="0" fontId="3" fillId="8" borderId="55" xfId="0" applyNumberFormat="1" applyFont="1" applyFill="1" applyBorder="1" applyAlignment="1">
      <alignment vertical="top" wrapText="1"/>
    </xf>
    <xf numFmtId="0" fontId="21" fillId="5" borderId="56" xfId="0" applyNumberFormat="1" applyFont="1" applyFill="1" applyBorder="1" applyAlignment="1">
      <alignment vertical="center"/>
    </xf>
    <xf numFmtId="0" fontId="21" fillId="5" borderId="57" xfId="0" applyNumberFormat="1" applyFont="1" applyFill="1" applyBorder="1" applyAlignment="1">
      <alignment vertical="center"/>
    </xf>
    <xf numFmtId="0" fontId="21" fillId="8" borderId="57" xfId="0" applyNumberFormat="1" applyFont="1" applyFill="1" applyBorder="1" applyAlignment="1">
      <alignment vertical="center" wrapText="1"/>
    </xf>
    <xf numFmtId="0" fontId="17" fillId="8" borderId="57" xfId="0" applyNumberFormat="1" applyFont="1" applyFill="1" applyBorder="1" applyAlignment="1">
      <alignment vertical="center" wrapText="1"/>
    </xf>
    <xf numFmtId="0" fontId="17" fillId="8" borderId="58" xfId="0" applyNumberFormat="1" applyFont="1" applyFill="1" applyBorder="1" applyAlignment="1">
      <alignment vertical="center" wrapText="1"/>
    </xf>
    <xf numFmtId="0" fontId="2" fillId="14" borderId="0" xfId="0" applyNumberFormat="1" applyFont="1" applyFill="1" applyBorder="1" applyAlignment="1">
      <alignment vertical="center" wrapText="1"/>
    </xf>
    <xf numFmtId="0" fontId="22" fillId="6" borderId="59" xfId="0" applyNumberFormat="1" applyFont="1" applyFill="1" applyBorder="1" applyAlignment="1">
      <alignment horizontal="center" vertical="center"/>
    </xf>
    <xf numFmtId="0" fontId="22" fillId="6" borderId="60" xfId="0" applyNumberFormat="1" applyFont="1" applyFill="1" applyBorder="1" applyAlignment="1">
      <alignment horizontal="center" vertical="center"/>
    </xf>
    <xf numFmtId="0" fontId="22" fillId="6" borderId="61" xfId="0" applyNumberFormat="1" applyFont="1" applyFill="1" applyBorder="1" applyAlignment="1">
      <alignment horizontal="center" vertical="center"/>
    </xf>
    <xf numFmtId="0" fontId="15" fillId="14" borderId="62" xfId="0" applyNumberFormat="1" applyFont="1" applyFill="1" applyBorder="1" applyAlignment="1">
      <alignment vertical="center"/>
    </xf>
    <xf numFmtId="0" fontId="15" fillId="14" borderId="63" xfId="0" applyNumberFormat="1" applyFont="1" applyFill="1" applyBorder="1" applyAlignment="1">
      <alignment vertical="center"/>
    </xf>
    <xf numFmtId="0" fontId="15" fillId="14" borderId="64" xfId="0" applyNumberFormat="1" applyFont="1" applyFill="1" applyBorder="1" applyAlignment="1">
      <alignment vertical="center"/>
    </xf>
    <xf numFmtId="0" fontId="6" fillId="5" borderId="65" xfId="0" applyNumberFormat="1" applyFont="1" applyFill="1" applyBorder="1" applyAlignment="1">
      <alignment horizontal="center" vertical="center"/>
    </xf>
    <xf numFmtId="0" fontId="6" fillId="5" borderId="66" xfId="0" applyNumberFormat="1" applyFont="1" applyFill="1" applyBorder="1" applyAlignment="1">
      <alignment horizontal="center" vertical="center"/>
    </xf>
    <xf numFmtId="0" fontId="23" fillId="5" borderId="65" xfId="0" applyNumberFormat="1" applyFont="1" applyFill="1" applyBorder="1" applyAlignment="1">
      <alignment vertical="top"/>
    </xf>
    <xf numFmtId="0" fontId="23" fillId="5" borderId="5" xfId="0" applyNumberFormat="1" applyFont="1" applyFill="1" applyBorder="1" applyAlignment="1">
      <alignment vertical="top"/>
    </xf>
    <xf numFmtId="0" fontId="3" fillId="4" borderId="66" xfId="0" applyNumberFormat="1" applyFont="1" applyFill="1" applyBorder="1" applyAlignment="1">
      <alignment vertical="top" wrapText="1"/>
    </xf>
    <xf numFmtId="0" fontId="3" fillId="11" borderId="66" xfId="0" applyNumberFormat="1" applyFont="1" applyFill="1" applyBorder="1" applyAlignment="1">
      <alignment vertical="top" wrapText="1"/>
    </xf>
    <xf numFmtId="0" fontId="3" fillId="6" borderId="66" xfId="0" applyNumberFormat="1" applyFont="1" applyFill="1" applyBorder="1" applyAlignment="1">
      <alignment vertical="top" wrapText="1"/>
    </xf>
    <xf numFmtId="0" fontId="3" fillId="8" borderId="66" xfId="0" applyNumberFormat="1" applyFont="1" applyFill="1" applyBorder="1" applyAlignment="1">
      <alignment vertical="top" wrapText="1"/>
    </xf>
    <xf numFmtId="0" fontId="23" fillId="5" borderId="67" xfId="0" applyNumberFormat="1" applyFont="1" applyFill="1" applyBorder="1" applyAlignment="1">
      <alignment vertical="center"/>
    </xf>
    <xf numFmtId="0" fontId="23" fillId="5" borderId="68" xfId="0" applyNumberFormat="1" applyFont="1" applyFill="1" applyBorder="1" applyAlignment="1">
      <alignment vertical="center"/>
    </xf>
    <xf numFmtId="0" fontId="23" fillId="6" borderId="68" xfId="0" applyNumberFormat="1" applyFont="1" applyFill="1" applyBorder="1" applyAlignment="1">
      <alignment vertical="center" wrapText="1"/>
    </xf>
    <xf numFmtId="0" fontId="17" fillId="6" borderId="68" xfId="0" applyNumberFormat="1" applyFont="1" applyFill="1" applyBorder="1" applyAlignment="1">
      <alignment vertical="center" wrapText="1"/>
    </xf>
    <xf numFmtId="0" fontId="17" fillId="6" borderId="69" xfId="0" applyNumberFormat="1" applyFont="1" applyFill="1" applyBorder="1" applyAlignment="1">
      <alignment vertical="center" wrapText="1"/>
    </xf>
    <xf numFmtId="0" fontId="24" fillId="11" borderId="0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horizontal="center" vertical="top" wrapText="1"/>
    </xf>
    <xf numFmtId="0" fontId="5" fillId="4" borderId="5" xfId="0" applyNumberFormat="1" applyFont="1" applyFill="1" applyBorder="1" applyAlignment="1">
      <alignment horizontal="center" vertical="top" wrapText="1"/>
    </xf>
    <xf numFmtId="0" fontId="5" fillId="11" borderId="5" xfId="0" applyNumberFormat="1" applyFont="1" applyFill="1" applyBorder="1" applyAlignment="1">
      <alignment horizontal="center" vertical="top" wrapText="1"/>
    </xf>
    <xf numFmtId="180" fontId="5" fillId="11" borderId="5" xfId="0" applyNumberFormat="1" applyFont="1" applyFill="1" applyBorder="1" applyAlignment="1">
      <alignment vertical="top" wrapText="1"/>
    </xf>
    <xf numFmtId="0" fontId="5" fillId="6" borderId="6" xfId="0" applyNumberFormat="1" applyFont="1" applyFill="1" applyBorder="1" applyAlignment="1">
      <alignment horizontal="center" vertical="top" wrapText="1"/>
    </xf>
    <xf numFmtId="0" fontId="5" fillId="4" borderId="6" xfId="0" applyNumberFormat="1" applyFont="1" applyFill="1" applyBorder="1" applyAlignment="1">
      <alignment horizontal="center" vertical="top" wrapText="1"/>
    </xf>
    <xf numFmtId="0" fontId="5" fillId="11" borderId="6" xfId="0" applyNumberFormat="1" applyFont="1" applyFill="1" applyBorder="1" applyAlignment="1">
      <alignment horizontal="center" vertical="top" wrapText="1"/>
    </xf>
    <xf numFmtId="180" fontId="5" fillId="11" borderId="6" xfId="0" applyNumberFormat="1" applyFont="1" applyFill="1" applyBorder="1" applyAlignment="1">
      <alignment vertical="top" wrapText="1"/>
    </xf>
    <xf numFmtId="0" fontId="5" fillId="8" borderId="6" xfId="0" applyNumberFormat="1" applyFont="1" applyFill="1" applyBorder="1" applyAlignment="1">
      <alignment horizontal="center" vertical="top" wrapText="1"/>
    </xf>
    <xf numFmtId="0" fontId="5" fillId="13" borderId="6" xfId="0" applyNumberFormat="1" applyFont="1" applyFill="1" applyBorder="1" applyAlignment="1">
      <alignment horizontal="center" vertical="top" wrapText="1"/>
    </xf>
    <xf numFmtId="0" fontId="5" fillId="10" borderId="6" xfId="0" applyNumberFormat="1" applyFont="1" applyFill="1" applyBorder="1" applyAlignment="1">
      <alignment horizontal="center" vertical="top" wrapText="1"/>
    </xf>
    <xf numFmtId="0" fontId="5" fillId="10" borderId="7" xfId="0" applyNumberFormat="1" applyFont="1" applyFill="1" applyBorder="1" applyAlignment="1">
      <alignment horizontal="center" vertical="top" wrapText="1"/>
    </xf>
    <xf numFmtId="0" fontId="5" fillId="4" borderId="7" xfId="0" applyNumberFormat="1" applyFont="1" applyFill="1" applyBorder="1" applyAlignment="1">
      <alignment horizontal="center" vertical="top" wrapText="1"/>
    </xf>
    <xf numFmtId="0" fontId="5" fillId="11" borderId="7" xfId="0" applyNumberFormat="1" applyFont="1" applyFill="1" applyBorder="1" applyAlignment="1">
      <alignment horizontal="center" vertical="top" wrapText="1"/>
    </xf>
    <xf numFmtId="180" fontId="5" fillId="11" borderId="7" xfId="0" applyNumberFormat="1" applyFont="1" applyFill="1" applyBorder="1" applyAlignment="1">
      <alignment vertical="top" wrapText="1"/>
    </xf>
    <xf numFmtId="0" fontId="6" fillId="5" borderId="70" xfId="0" applyNumberFormat="1" applyFont="1" applyFill="1" applyBorder="1" applyAlignment="1">
      <alignment horizontal="center" vertical="center"/>
    </xf>
    <xf numFmtId="0" fontId="6" fillId="5" borderId="71" xfId="0" applyNumberFormat="1" applyFont="1" applyFill="1" applyBorder="1" applyAlignment="1">
      <alignment horizontal="center" vertical="center"/>
    </xf>
    <xf numFmtId="0" fontId="6" fillId="5" borderId="72" xfId="0" applyNumberFormat="1" applyFont="1" applyFill="1" applyBorder="1" applyAlignment="1">
      <alignment horizontal="center" vertical="center"/>
    </xf>
    <xf numFmtId="0" fontId="11" fillId="4" borderId="0" xfId="0" applyNumberFormat="1" applyFont="1" applyFill="1" applyBorder="1" applyAlignment="1">
      <alignment horizontal="center" vertical="center"/>
    </xf>
    <xf numFmtId="0" fontId="12" fillId="4" borderId="0" xfId="0" applyNumberFormat="1" applyFont="1" applyFill="1" applyBorder="1" applyAlignment="1">
      <alignment horizontal="center" vertical="center"/>
    </xf>
    <xf numFmtId="178" fontId="13" fillId="4" borderId="14" xfId="0" applyNumberFormat="1" applyFont="1" applyFill="1" applyBorder="1" applyAlignment="1">
      <alignment horizontal="center" vertical="center"/>
    </xf>
    <xf numFmtId="0" fontId="13" fillId="4" borderId="0" xfId="0" applyNumberFormat="1" applyFont="1" applyFill="1" applyBorder="1" applyAlignment="1">
      <alignment horizontal="center" vertical="center"/>
    </xf>
    <xf numFmtId="0" fontId="11" fillId="4" borderId="5" xfId="0" applyNumberFormat="1" applyFont="1" applyFill="1" applyBorder="1" applyAlignment="1">
      <alignment horizontal="center" vertical="center"/>
    </xf>
    <xf numFmtId="0" fontId="12" fillId="4" borderId="5" xfId="0" applyNumberFormat="1" applyFont="1" applyFill="1" applyBorder="1" applyAlignment="1">
      <alignment horizontal="center" vertical="center"/>
    </xf>
    <xf numFmtId="0" fontId="13" fillId="4" borderId="5" xfId="0" applyNumberFormat="1" applyFont="1" applyFill="1" applyBorder="1" applyAlignment="1">
      <alignment horizontal="center" vertical="center"/>
    </xf>
    <xf numFmtId="0" fontId="25" fillId="5" borderId="73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horizontal="center" vertical="center"/>
    </xf>
    <xf numFmtId="9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horizontal="center" vertical="center"/>
    </xf>
    <xf numFmtId="9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vertical="center"/>
    </xf>
    <xf numFmtId="0" fontId="26" fillId="5" borderId="74" xfId="0" applyNumberFormat="1" applyFont="1" applyFill="1" applyBorder="1" applyAlignment="1">
      <alignment vertical="center"/>
    </xf>
    <xf numFmtId="0" fontId="3" fillId="5" borderId="1" xfId="0" applyNumberFormat="1" applyFont="1" applyFill="1" applyBorder="1" applyAlignment="1">
      <alignment vertical="top" wrapText="1"/>
    </xf>
    <xf numFmtId="0" fontId="3" fillId="5" borderId="7" xfId="0" applyNumberFormat="1" applyFont="1" applyFill="1" applyBorder="1" applyAlignment="1">
      <alignment vertical="top" wrapText="1"/>
    </xf>
    <xf numFmtId="0" fontId="3" fillId="5" borderId="2" xfId="0" applyNumberFormat="1" applyFont="1" applyFill="1" applyBorder="1" applyAlignment="1">
      <alignment vertical="top" wrapText="1"/>
    </xf>
    <xf numFmtId="0" fontId="3" fillId="5" borderId="14" xfId="0" applyNumberFormat="1" applyFont="1" applyFill="1" applyBorder="1" applyAlignment="1">
      <alignment vertical="top" wrapText="1"/>
    </xf>
    <xf numFmtId="0" fontId="3" fillId="5" borderId="0" xfId="0" applyNumberFormat="1" applyFont="1" applyFill="1" applyBorder="1" applyAlignment="1">
      <alignment vertical="top" wrapText="1"/>
    </xf>
    <xf numFmtId="0" fontId="3" fillId="5" borderId="15" xfId="0" applyNumberFormat="1" applyFont="1" applyFill="1" applyBorder="1" applyAlignment="1">
      <alignment vertical="top" wrapText="1"/>
    </xf>
    <xf numFmtId="0" fontId="3" fillId="5" borderId="3" xfId="0" applyNumberFormat="1" applyFont="1" applyFill="1" applyBorder="1" applyAlignment="1">
      <alignment vertical="top" wrapText="1"/>
    </xf>
    <xf numFmtId="0" fontId="3" fillId="5" borderId="5" xfId="0" applyNumberFormat="1" applyFont="1" applyFill="1" applyBorder="1" applyAlignment="1">
      <alignment vertical="top" wrapText="1"/>
    </xf>
    <xf numFmtId="0" fontId="3" fillId="5" borderId="4" xfId="0" applyNumberFormat="1" applyFont="1" applyFill="1" applyBorder="1" applyAlignment="1">
      <alignment vertical="top" wrapText="1"/>
    </xf>
    <xf numFmtId="0" fontId="27" fillId="5" borderId="75" xfId="0" applyNumberFormat="1" applyFont="1" applyFill="1" applyBorder="1" applyAlignment="1">
      <alignment vertical="center"/>
    </xf>
    <xf numFmtId="0" fontId="28" fillId="13" borderId="76" xfId="0" applyNumberFormat="1" applyFont="1" applyFill="1" applyBorder="1" applyAlignment="1">
      <alignment horizontal="center" vertical="center" wrapText="1"/>
    </xf>
    <xf numFmtId="0" fontId="28" fillId="13" borderId="77" xfId="0" applyNumberFormat="1" applyFont="1" applyFill="1" applyBorder="1" applyAlignment="1">
      <alignment horizontal="center" vertical="center" wrapText="1"/>
    </xf>
    <xf numFmtId="0" fontId="28" fillId="13" borderId="78" xfId="0" applyNumberFormat="1" applyFont="1" applyFill="1" applyBorder="1" applyAlignment="1">
      <alignment horizontal="center" vertical="center" wrapText="1"/>
    </xf>
    <xf numFmtId="0" fontId="28" fillId="13" borderId="79" xfId="0" applyNumberFormat="1" applyFont="1" applyFill="1" applyBorder="1" applyAlignment="1">
      <alignment horizontal="center" vertical="center" wrapText="1"/>
    </xf>
    <xf numFmtId="0" fontId="28" fillId="13" borderId="0" xfId="0" applyNumberFormat="1" applyFont="1" applyFill="1" applyBorder="1" applyAlignment="1">
      <alignment horizontal="center" vertical="center" wrapText="1"/>
    </xf>
    <xf numFmtId="0" fontId="28" fillId="13" borderId="80" xfId="0" applyNumberFormat="1" applyFont="1" applyFill="1" applyBorder="1" applyAlignment="1">
      <alignment horizontal="center" vertical="center" wrapText="1"/>
    </xf>
    <xf numFmtId="0" fontId="28" fillId="13" borderId="81" xfId="0" applyNumberFormat="1" applyFont="1" applyFill="1" applyBorder="1" applyAlignment="1">
      <alignment horizontal="center" vertical="center" wrapText="1"/>
    </xf>
    <xf numFmtId="0" fontId="28" fillId="13" borderId="82" xfId="0" applyNumberFormat="1" applyFont="1" applyFill="1" applyBorder="1" applyAlignment="1">
      <alignment horizontal="center" vertical="center" wrapText="1"/>
    </xf>
    <xf numFmtId="0" fontId="28" fillId="13" borderId="83" xfId="0" applyNumberFormat="1" applyFont="1" applyFill="1" applyBorder="1" applyAlignment="1">
      <alignment horizontal="center" vertical="center" wrapText="1"/>
    </xf>
    <xf numFmtId="0" fontId="29" fillId="11" borderId="84" xfId="0" applyNumberFormat="1" applyFont="1" applyFill="1" applyBorder="1" applyAlignment="1">
      <alignment vertical="center" wrapText="1"/>
    </xf>
    <xf numFmtId="0" fontId="29" fillId="11" borderId="85" xfId="0" applyNumberFormat="1" applyFont="1" applyFill="1" applyBorder="1" applyAlignment="1">
      <alignment vertical="center" wrapText="1"/>
    </xf>
    <xf numFmtId="0" fontId="29" fillId="11" borderId="86" xfId="0" applyNumberFormat="1" applyFont="1" applyFill="1" applyBorder="1" applyAlignment="1">
      <alignment vertical="center" wrapText="1"/>
    </xf>
    <xf numFmtId="0" fontId="29" fillId="11" borderId="87" xfId="0" applyNumberFormat="1" applyFont="1" applyFill="1" applyBorder="1" applyAlignment="1">
      <alignment vertical="center" wrapText="1"/>
    </xf>
    <xf numFmtId="0" fontId="29" fillId="11" borderId="88" xfId="0" applyNumberFormat="1" applyFont="1" applyFill="1" applyBorder="1" applyAlignment="1">
      <alignment vertical="center" wrapText="1"/>
    </xf>
    <xf numFmtId="0" fontId="29" fillId="11" borderId="89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16A34A"/>
      </font>
      <fill>
        <patternFill patternType="solid">
          <bgColor rgb="FFECFDF5"/>
        </patternFill>
      </fill>
    </dxf>
    <dxf>
      <font>
        <b val="1"/>
        <color rgb="FF2563EB"/>
      </font>
      <fill>
        <patternFill patternType="solid">
          <bgColor rgb="FFEFF6FF"/>
        </patternFill>
      </fill>
    </dxf>
    <dxf>
      <font>
        <b val="1"/>
        <color rgb="FFB45309"/>
      </font>
      <fill>
        <patternFill patternType="solid">
          <bgColor rgb="FFFFFBEB"/>
        </patternFill>
      </fill>
    </dxf>
    <dxf>
      <font>
        <color rgb="FFDC2626"/>
      </font>
      <fill>
        <patternFill patternType="solid">
          <bgColor rgb="FFFE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/>
              <a:t>Kế hoạch và số buổi hoàn thành</a:t>
            </a:r>
            <a:endParaRPr sz="900"/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"Kế hoạch"</c:f>
              <c:strCache>
                <c:ptCount val="1"/>
                <c:pt idx="0">
                  <c:v>Kế hoạch</c:v>
                </c:pt>
              </c:strCache>
            </c:strRef>
          </c:tx>
          <c:invertIfNegative val="0"/>
          <c:dLbls>
            <c:delete val="1"/>
          </c:dLbls>
          <c:cat>
            <c:strRef>
              <c:f>'BẮT ĐẦU'!$A$10:$A$13</c:f>
              <c:strCache>
                <c:ptCount val="4"/>
                <c:pt idx="0">
                  <c:v>JS nền tảng</c:v>
                </c:pt>
                <c:pt idx="1">
                  <c:v>JS trên trình duyệt</c:v>
                </c:pt>
                <c:pt idx="2">
                  <c:v>React nền tảng</c:v>
                </c:pt>
                <c:pt idx="3">
                  <c:v>React ứng dụng</c:v>
                </c:pt>
              </c:strCache>
            </c:strRef>
          </c:cat>
          <c:val>
            <c:numRef>
              <c:f>'BẮT ĐẦU'!$B$10:$B$13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"Hoàn thành"</c:f>
              <c:strCache>
                <c:ptCount val="1"/>
                <c:pt idx="0">
                  <c:v>Hoàn thành</c:v>
                </c:pt>
              </c:strCache>
            </c:strRef>
          </c:tx>
          <c:invertIfNegative val="0"/>
          <c:dLbls>
            <c:delete val="1"/>
          </c:dLbls>
          <c:cat>
            <c:strRef>
              <c:f>'BẮT ĐẦU'!$A$10:$A$13</c:f>
              <c:strCache>
                <c:ptCount val="4"/>
                <c:pt idx="0">
                  <c:v>JS nền tảng</c:v>
                </c:pt>
                <c:pt idx="1">
                  <c:v>JS trên trình duyệt</c:v>
                </c:pt>
                <c:pt idx="2">
                  <c:v>React nền tảng</c:v>
                </c:pt>
                <c:pt idx="3">
                  <c:v>React ứng dụng</c:v>
                </c:pt>
              </c:strCache>
            </c:strRef>
          </c:cat>
          <c:val>
            <c:numRef>
              <c:f>'BẮT ĐẦU'!$C$10:$C$13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bcfd4c-8427-4103-a48c-a8ad2a2c9e9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4886960" y="1965325"/>
        <a:ext cx="6009640" cy="248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iningProgress32" displayName="TrainingProgress32" ref="A6:M38" totalsRowShown="0">
  <tableColumns count="13">
    <tableColumn id="1" name="Buổi"/>
    <tableColumn id="2" name="Tuần"/>
    <tableColumn id="3" name="Giai đoạn"/>
    <tableColumn id="4" name="Chủ đề"/>
    <tableColumn id="5" name="Kết quả đầu ra"/>
    <tableColumn id="6" name="Deliverable"/>
    <tableColumn id="7" name="Giờ"/>
    <tableColumn id="8" name="Hình thức"/>
    <tableColumn id="9" name="Trạng thái"/>
    <tableColumn id="10" name="Điểm"/>
    <tableColumn id="11" name="Reviewer"/>
    <tableColumn id="12" name="Ngày xong"/>
    <tableColumn id="13" name="Blocker / 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rnCompetencies" displayName="InternCompetencies" ref="A8:H44" totalsRowShown="0">
  <tableColumns count="8">
    <tableColumn id="1" name="Nhóm"/>
    <tableColumn id="2" name="Năng lực"/>
    <tableColumn id="3" name="Hành vi quan sát được"/>
    <tableColumn id="4" name="Mức kỳ vọng"/>
    <tableColumn id="5" name="Evidence gợi ý"/>
    <tableColumn id="6" name="Trạng thái"/>
    <tableColumn id="7" name="Tự tin /5"/>
    <tableColumn id="8" name="Ghi chú men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lfSearchPlaybook" displayName="SelfSearchPlaybook" ref="A8:F38" totalsRowShown="0">
  <tableColumns count="6">
    <tableColumn id="1" name="Nhóm"/>
    <tableColumn id="2" name="Khi nào dùng"/>
    <tableColumn id="3" name="Mẫu từ khóa search"/>
    <tableColumn id="4" name="Kết quả cần rút ra"/>
    <tableColumn id="5" name="Dấu hiệu học sai hướng"/>
    <tableColumn id="6" name="Nguồn ưu tiê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showGridLines="0" topLeftCell="A11" workbookViewId="0">
      <selection activeCell="A1" sqref="A1:L1"/>
    </sheetView>
  </sheetViews>
  <sheetFormatPr defaultColWidth="9" defaultRowHeight="16.8"/>
  <cols>
    <col min="1" max="3" width="16" customWidth="1"/>
    <col min="4" max="12" width="13" customWidth="1"/>
  </cols>
  <sheetData>
    <row r="1" ht="40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>
      <c r="A2" s="137" t="s">
        <v>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ht="17.55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56" t="s">
        <v>2</v>
      </c>
      <c r="B4" s="173"/>
      <c r="C4" s="57"/>
      <c r="D4" s="58" t="s">
        <v>3</v>
      </c>
      <c r="E4" s="174"/>
      <c r="F4" s="59"/>
      <c r="G4" s="26" t="s">
        <v>4</v>
      </c>
      <c r="H4" s="27"/>
      <c r="I4" s="28"/>
      <c r="J4" s="60" t="s">
        <v>5</v>
      </c>
      <c r="K4" s="175"/>
      <c r="L4" s="61"/>
    </row>
    <row r="5" spans="1:12">
      <c r="A5" s="62">
        <f>COUNTA('TIẾN ĐỘ 32 BUỔI'!$A$7:$A$38)</f>
        <v>32</v>
      </c>
      <c r="B5" s="176"/>
      <c r="C5" s="63"/>
      <c r="D5" s="64">
        <f>COUNTIF('TIẾN ĐỘ 32 BUỔI'!$I$7:$I$38,"Hoàn thành")</f>
        <v>0</v>
      </c>
      <c r="E5" s="177"/>
      <c r="F5" s="65"/>
      <c r="G5" s="68">
        <f>IFERROR(D5/A5,0)</f>
        <v>0</v>
      </c>
      <c r="H5" s="33"/>
      <c r="I5" s="34"/>
      <c r="J5" s="178">
        <f>IFERROR(AVERAGEIF('TIẾN ĐỘ 32 BUỔI'!$J$7:$J$38,"&gt;0"),0)</f>
        <v>0</v>
      </c>
      <c r="K5" s="179"/>
      <c r="L5" s="67"/>
    </row>
    <row r="6" spans="1:12">
      <c r="A6" s="69"/>
      <c r="B6" s="180"/>
      <c r="C6" s="70"/>
      <c r="D6" s="71"/>
      <c r="E6" s="181"/>
      <c r="F6" s="72"/>
      <c r="G6" s="38"/>
      <c r="H6" s="39"/>
      <c r="I6" s="40"/>
      <c r="J6" s="73"/>
      <c r="K6" s="182"/>
      <c r="L6" s="7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8" customHeight="1" spans="1:12">
      <c r="A8" s="183" t="s">
        <v>6</v>
      </c>
      <c r="B8" s="183"/>
      <c r="C8" s="183"/>
      <c r="D8" s="183"/>
      <c r="E8" s="3"/>
      <c r="F8" s="3"/>
      <c r="G8" s="3"/>
      <c r="H8" s="3"/>
      <c r="I8" s="3"/>
      <c r="J8" s="3"/>
      <c r="K8" s="3"/>
      <c r="L8" s="3"/>
    </row>
    <row r="9" spans="1:12">
      <c r="A9" s="4" t="s">
        <v>7</v>
      </c>
      <c r="B9" s="4" t="s">
        <v>8</v>
      </c>
      <c r="C9" s="4" t="s">
        <v>9</v>
      </c>
      <c r="D9" s="4" t="s">
        <v>10</v>
      </c>
      <c r="E9" s="3"/>
      <c r="F9" s="3"/>
      <c r="G9" s="3"/>
      <c r="H9" s="3"/>
      <c r="I9" s="3"/>
      <c r="J9" s="3"/>
      <c r="K9" s="3"/>
      <c r="L9" s="3"/>
    </row>
    <row r="10" spans="1:12">
      <c r="A10" s="184" t="s">
        <v>11</v>
      </c>
      <c r="B10" s="185">
        <f>COUNTIF('TIẾN ĐỘ 32 BUỔI'!$C$7:$C$38,"GĐ1 · JS nền tảng")</f>
        <v>8</v>
      </c>
      <c r="C10" s="185">
        <f>COUNTIFS('TIẾN ĐỘ 32 BUỔI'!$C$7:$C$38,"GĐ1 · JS nền tảng",'TIẾN ĐỘ 32 BUỔI'!$I$7:$I$38,"Hoàn thành")</f>
        <v>0</v>
      </c>
      <c r="D10" s="186">
        <f>IFERROR(C10/B10,0)</f>
        <v>0</v>
      </c>
      <c r="E10" s="3"/>
      <c r="F10" s="3"/>
      <c r="G10" s="3"/>
      <c r="H10" s="3"/>
      <c r="I10" s="3"/>
      <c r="J10" s="3"/>
      <c r="K10" s="3"/>
      <c r="L10" s="3"/>
    </row>
    <row r="11" spans="1:12">
      <c r="A11" s="187" t="s">
        <v>12</v>
      </c>
      <c r="B11" s="188">
        <f>COUNTIF('TIẾN ĐỘ 32 BUỔI'!$C$7:$C$38,"GĐ2 · JS trên trình duyệt")</f>
        <v>8</v>
      </c>
      <c r="C11" s="188">
        <f>COUNTIFS('TIẾN ĐỘ 32 BUỔI'!$C$7:$C$38,"GĐ2 · JS trên trình duyệt",'TIẾN ĐỘ 32 BUỔI'!$I$7:$I$38,"Hoàn thành")</f>
        <v>0</v>
      </c>
      <c r="D11" s="189">
        <f>IFERROR(C11/B11,0)</f>
        <v>0</v>
      </c>
      <c r="E11" s="3"/>
      <c r="F11" s="3"/>
      <c r="G11" s="3"/>
      <c r="H11" s="3"/>
      <c r="I11" s="3"/>
      <c r="J11" s="3"/>
      <c r="K11" s="3"/>
      <c r="L11" s="3"/>
    </row>
    <row r="12" spans="1:12">
      <c r="A12" s="187" t="s">
        <v>13</v>
      </c>
      <c r="B12" s="188">
        <f>COUNTIF('TIẾN ĐỘ 32 BUỔI'!$C$7:$C$38,"GĐ3 · React nền tảng")</f>
        <v>8</v>
      </c>
      <c r="C12" s="188">
        <f>COUNTIFS('TIẾN ĐỘ 32 BUỔI'!$C$7:$C$38,"GĐ3 · React nền tảng",'TIẾN ĐỘ 32 BUỔI'!$I$7:$I$38,"Hoàn thành")</f>
        <v>0</v>
      </c>
      <c r="D12" s="189">
        <f>IFERROR(C12/B12,0)</f>
        <v>0</v>
      </c>
      <c r="E12" s="3"/>
      <c r="F12" s="3"/>
      <c r="G12" s="3"/>
      <c r="H12" s="3"/>
      <c r="I12" s="3"/>
      <c r="J12" s="3"/>
      <c r="K12" s="3"/>
      <c r="L12" s="3"/>
    </row>
    <row r="13" spans="1:12">
      <c r="A13" s="190" t="s">
        <v>14</v>
      </c>
      <c r="B13" s="191">
        <f>COUNTIF('TIẾN ĐỘ 32 BUỔI'!$C$7:$C$38,"GĐ4 · React ứng dụng")</f>
        <v>8</v>
      </c>
      <c r="C13" s="191">
        <f>COUNTIFS('TIẾN ĐỘ 32 BUỔI'!$C$7:$C$38,"GĐ4 · React ứng dụng",'TIẾN ĐỘ 32 BUỔI'!$I$7:$I$38,"Hoàn thành")</f>
        <v>0</v>
      </c>
      <c r="D13" s="192">
        <f>IFERROR(C13/B13,0)</f>
        <v>0</v>
      </c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8" customHeight="1" spans="1:12">
      <c r="A20" s="193" t="s">
        <v>15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</row>
    <row r="21" spans="1:12">
      <c r="A21" s="4" t="s">
        <v>16</v>
      </c>
      <c r="B21" s="4"/>
      <c r="C21" s="4"/>
      <c r="D21" s="4" t="s">
        <v>17</v>
      </c>
      <c r="E21" s="4"/>
      <c r="F21" s="4"/>
      <c r="G21" s="4" t="s">
        <v>18</v>
      </c>
      <c r="H21" s="4"/>
      <c r="I21" s="4"/>
      <c r="J21" s="4" t="s">
        <v>19</v>
      </c>
      <c r="K21" s="4"/>
      <c r="L21" s="4"/>
    </row>
    <row r="22" ht="24" customHeight="1" spans="1:12">
      <c r="A22" s="194" t="s">
        <v>20</v>
      </c>
      <c r="B22" s="195"/>
      <c r="C22" s="196"/>
      <c r="D22" s="194" t="s">
        <v>21</v>
      </c>
      <c r="E22" s="195"/>
      <c r="F22" s="196"/>
      <c r="G22" s="194" t="s">
        <v>22</v>
      </c>
      <c r="H22" s="195"/>
      <c r="I22" s="196"/>
      <c r="J22" s="194" t="s">
        <v>23</v>
      </c>
      <c r="K22" s="195"/>
      <c r="L22" s="196"/>
    </row>
    <row r="23" ht="24" customHeight="1" spans="1:12">
      <c r="A23" s="197"/>
      <c r="B23" s="198"/>
      <c r="C23" s="199"/>
      <c r="D23" s="197"/>
      <c r="E23" s="198"/>
      <c r="F23" s="199"/>
      <c r="G23" s="197"/>
      <c r="H23" s="198"/>
      <c r="I23" s="199"/>
      <c r="J23" s="197"/>
      <c r="K23" s="198"/>
      <c r="L23" s="199"/>
    </row>
    <row r="24" ht="24" customHeight="1" spans="1:12">
      <c r="A24" s="197"/>
      <c r="B24" s="198"/>
      <c r="C24" s="199"/>
      <c r="D24" s="197"/>
      <c r="E24" s="198"/>
      <c r="F24" s="199"/>
      <c r="G24" s="197"/>
      <c r="H24" s="198"/>
      <c r="I24" s="199"/>
      <c r="J24" s="197"/>
      <c r="K24" s="198"/>
      <c r="L24" s="199"/>
    </row>
    <row r="25" ht="24" customHeight="1" spans="1:12">
      <c r="A25" s="200"/>
      <c r="B25" s="201"/>
      <c r="C25" s="202"/>
      <c r="D25" s="200"/>
      <c r="E25" s="201"/>
      <c r="F25" s="202"/>
      <c r="G25" s="200"/>
      <c r="H25" s="201"/>
      <c r="I25" s="202"/>
      <c r="J25" s="200"/>
      <c r="K25" s="201"/>
      <c r="L25" s="202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28" customHeight="1" spans="1:12">
      <c r="A28" s="203" t="s">
        <v>24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</row>
    <row r="29" spans="1:12">
      <c r="A29" s="204" t="s">
        <v>25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6"/>
    </row>
    <row r="30" spans="1:12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9"/>
    </row>
    <row r="31" spans="1:12">
      <c r="A31" s="210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2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213" t="s">
        <v>26</v>
      </c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5"/>
    </row>
    <row r="34" spans="1:12">
      <c r="A34" s="216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8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23">
    <mergeCell ref="A1:L1"/>
    <mergeCell ref="A2:L2"/>
    <mergeCell ref="A4:C4"/>
    <mergeCell ref="D4:F4"/>
    <mergeCell ref="G4:I4"/>
    <mergeCell ref="J4:L4"/>
    <mergeCell ref="A8:D8"/>
    <mergeCell ref="A20:L20"/>
    <mergeCell ref="A21:C21"/>
    <mergeCell ref="D21:F21"/>
    <mergeCell ref="G21:I21"/>
    <mergeCell ref="J21:L21"/>
    <mergeCell ref="A28:L28"/>
    <mergeCell ref="A5:C6"/>
    <mergeCell ref="D5:F6"/>
    <mergeCell ref="G5:I6"/>
    <mergeCell ref="J5:L6"/>
    <mergeCell ref="A22:C25"/>
    <mergeCell ref="D22:F25"/>
    <mergeCell ref="G22:I25"/>
    <mergeCell ref="J22:L25"/>
    <mergeCell ref="A29:L31"/>
    <mergeCell ref="A33:L34"/>
  </mergeCells>
  <conditionalFormatting sqref="D10:D13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{6d9b004b-6c7e-437f-9e44-4cca830fa4f2}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9b004b-6c7e-437f-9e44-4cca830fa4f2}">
            <x14:dataBar minLength="10" maxLength="90" gradient="0" negativeBarColorSameAsPositive="1">
              <x14:cfvo type="min"/>
              <x14:cfvo type="max"/>
              <x14:axisColor indexed="65"/>
            </x14:dataBar>
          </x14:cfRule>
          <xm:sqref>D10:D13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showGridLines="0" topLeftCell="A28" workbookViewId="0">
      <selection activeCell="A1" sqref="A1:M1"/>
    </sheetView>
  </sheetViews>
  <sheetFormatPr defaultColWidth="9" defaultRowHeight="16.8"/>
  <cols>
    <col min="1" max="2" width="7" customWidth="1"/>
    <col min="3" max="3" width="21" customWidth="1"/>
    <col min="4" max="4" width="28" customWidth="1"/>
    <col min="5" max="5" width="38" customWidth="1"/>
    <col min="6" max="6" width="32" customWidth="1"/>
    <col min="7" max="7" width="7" customWidth="1"/>
    <col min="8" max="8" width="17" customWidth="1"/>
    <col min="9" max="9" width="16" customWidth="1"/>
    <col min="10" max="10" width="9" customWidth="1"/>
    <col min="11" max="11" width="16" customWidth="1"/>
    <col min="12" max="12" width="14" customWidth="1"/>
    <col min="13" max="13" width="30" customWidth="1"/>
  </cols>
  <sheetData>
    <row r="1" ht="40" customHeight="1" spans="1:13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157" t="s">
        <v>29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34" customHeight="1" spans="1:13">
      <c r="A6" s="9" t="s">
        <v>30</v>
      </c>
      <c r="B6" s="9" t="s">
        <v>31</v>
      </c>
      <c r="C6" s="9" t="s">
        <v>7</v>
      </c>
      <c r="D6" s="9" t="s">
        <v>32</v>
      </c>
      <c r="E6" s="9" t="s">
        <v>33</v>
      </c>
      <c r="F6" s="9" t="s">
        <v>34</v>
      </c>
      <c r="G6" s="9" t="s">
        <v>35</v>
      </c>
      <c r="H6" s="9" t="s">
        <v>36</v>
      </c>
      <c r="I6" s="9" t="s">
        <v>37</v>
      </c>
      <c r="J6" s="9" t="s">
        <v>38</v>
      </c>
      <c r="K6" s="9" t="s">
        <v>39</v>
      </c>
      <c r="L6" s="9" t="s">
        <v>40</v>
      </c>
      <c r="M6" s="9" t="s">
        <v>41</v>
      </c>
    </row>
    <row r="7" ht="58" customHeight="1" spans="1:13">
      <c r="A7" s="158">
        <v>1</v>
      </c>
      <c r="B7" s="158">
        <v>1</v>
      </c>
      <c r="C7" s="158" t="s">
        <v>42</v>
      </c>
      <c r="D7" s="10" t="s">
        <v>43</v>
      </c>
      <c r="E7" s="10" t="s">
        <v>44</v>
      </c>
      <c r="F7" s="10" t="s">
        <v>45</v>
      </c>
      <c r="G7" s="159">
        <v>2.5</v>
      </c>
      <c r="H7" s="159" t="s">
        <v>46</v>
      </c>
      <c r="I7" s="160" t="s">
        <v>47</v>
      </c>
      <c r="J7" s="160"/>
      <c r="K7" s="46" t="s">
        <v>48</v>
      </c>
      <c r="L7" s="161"/>
      <c r="M7" s="46" t="s">
        <v>48</v>
      </c>
    </row>
    <row r="8" ht="58" customHeight="1" spans="1:13">
      <c r="A8" s="162">
        <v>2</v>
      </c>
      <c r="B8" s="162">
        <v>1</v>
      </c>
      <c r="C8" s="162" t="s">
        <v>42</v>
      </c>
      <c r="D8" s="14" t="s">
        <v>49</v>
      </c>
      <c r="E8" s="14" t="s">
        <v>50</v>
      </c>
      <c r="F8" s="14" t="s">
        <v>51</v>
      </c>
      <c r="G8" s="163">
        <v>2.5</v>
      </c>
      <c r="H8" s="163" t="s">
        <v>52</v>
      </c>
      <c r="I8" s="164" t="s">
        <v>47</v>
      </c>
      <c r="J8" s="164"/>
      <c r="K8" s="49" t="s">
        <v>48</v>
      </c>
      <c r="L8" s="165"/>
      <c r="M8" s="49" t="s">
        <v>48</v>
      </c>
    </row>
    <row r="9" ht="58" customHeight="1" spans="1:13">
      <c r="A9" s="162">
        <v>3</v>
      </c>
      <c r="B9" s="162">
        <v>1</v>
      </c>
      <c r="C9" s="162" t="s">
        <v>42</v>
      </c>
      <c r="D9" s="14" t="s">
        <v>53</v>
      </c>
      <c r="E9" s="14" t="s">
        <v>54</v>
      </c>
      <c r="F9" s="14" t="s">
        <v>55</v>
      </c>
      <c r="G9" s="163">
        <v>2.5</v>
      </c>
      <c r="H9" s="163" t="s">
        <v>46</v>
      </c>
      <c r="I9" s="164" t="s">
        <v>47</v>
      </c>
      <c r="J9" s="164"/>
      <c r="K9" s="49" t="s">
        <v>48</v>
      </c>
      <c r="L9" s="165"/>
      <c r="M9" s="49" t="s">
        <v>48</v>
      </c>
    </row>
    <row r="10" ht="58" customHeight="1" spans="1:13">
      <c r="A10" s="162">
        <v>4</v>
      </c>
      <c r="B10" s="162">
        <v>1</v>
      </c>
      <c r="C10" s="162" t="s">
        <v>42</v>
      </c>
      <c r="D10" s="14" t="s">
        <v>56</v>
      </c>
      <c r="E10" s="14" t="s">
        <v>57</v>
      </c>
      <c r="F10" s="14" t="s">
        <v>58</v>
      </c>
      <c r="G10" s="163">
        <v>2.5</v>
      </c>
      <c r="H10" s="163" t="s">
        <v>52</v>
      </c>
      <c r="I10" s="164" t="s">
        <v>47</v>
      </c>
      <c r="J10" s="164"/>
      <c r="K10" s="49" t="s">
        <v>48</v>
      </c>
      <c r="L10" s="165"/>
      <c r="M10" s="49" t="s">
        <v>48</v>
      </c>
    </row>
    <row r="11" ht="58" customHeight="1" spans="1:13">
      <c r="A11" s="162">
        <v>5</v>
      </c>
      <c r="B11" s="162">
        <v>2</v>
      </c>
      <c r="C11" s="162" t="s">
        <v>42</v>
      </c>
      <c r="D11" s="14" t="s">
        <v>59</v>
      </c>
      <c r="E11" s="14" t="s">
        <v>60</v>
      </c>
      <c r="F11" s="14" t="s">
        <v>61</v>
      </c>
      <c r="G11" s="163">
        <v>2.5</v>
      </c>
      <c r="H11" s="163" t="s">
        <v>62</v>
      </c>
      <c r="I11" s="164" t="s">
        <v>47</v>
      </c>
      <c r="J11" s="164"/>
      <c r="K11" s="49" t="s">
        <v>48</v>
      </c>
      <c r="L11" s="165"/>
      <c r="M11" s="49" t="s">
        <v>48</v>
      </c>
    </row>
    <row r="12" ht="58" customHeight="1" spans="1:13">
      <c r="A12" s="162">
        <v>6</v>
      </c>
      <c r="B12" s="162">
        <v>2</v>
      </c>
      <c r="C12" s="162" t="s">
        <v>42</v>
      </c>
      <c r="D12" s="14" t="s">
        <v>63</v>
      </c>
      <c r="E12" s="14" t="s">
        <v>64</v>
      </c>
      <c r="F12" s="14" t="s">
        <v>65</v>
      </c>
      <c r="G12" s="163">
        <v>2.5</v>
      </c>
      <c r="H12" s="163" t="s">
        <v>46</v>
      </c>
      <c r="I12" s="164" t="s">
        <v>47</v>
      </c>
      <c r="J12" s="164"/>
      <c r="K12" s="49" t="s">
        <v>48</v>
      </c>
      <c r="L12" s="165"/>
      <c r="M12" s="49" t="s">
        <v>48</v>
      </c>
    </row>
    <row r="13" ht="58" customHeight="1" spans="1:13">
      <c r="A13" s="162">
        <v>7</v>
      </c>
      <c r="B13" s="162">
        <v>2</v>
      </c>
      <c r="C13" s="162" t="s">
        <v>42</v>
      </c>
      <c r="D13" s="14" t="s">
        <v>66</v>
      </c>
      <c r="E13" s="14" t="s">
        <v>67</v>
      </c>
      <c r="F13" s="14" t="s">
        <v>68</v>
      </c>
      <c r="G13" s="163">
        <v>2.5</v>
      </c>
      <c r="H13" s="163" t="s">
        <v>52</v>
      </c>
      <c r="I13" s="164" t="s">
        <v>47</v>
      </c>
      <c r="J13" s="164"/>
      <c r="K13" s="49" t="s">
        <v>48</v>
      </c>
      <c r="L13" s="165"/>
      <c r="M13" s="49" t="s">
        <v>48</v>
      </c>
    </row>
    <row r="14" ht="58" customHeight="1" spans="1:13">
      <c r="A14" s="162">
        <v>8</v>
      </c>
      <c r="B14" s="162">
        <v>2</v>
      </c>
      <c r="C14" s="162" t="s">
        <v>42</v>
      </c>
      <c r="D14" s="14" t="s">
        <v>69</v>
      </c>
      <c r="E14" s="14" t="s">
        <v>70</v>
      </c>
      <c r="F14" s="14" t="s">
        <v>71</v>
      </c>
      <c r="G14" s="163">
        <v>2.5</v>
      </c>
      <c r="H14" s="163" t="s">
        <v>72</v>
      </c>
      <c r="I14" s="164" t="s">
        <v>47</v>
      </c>
      <c r="J14" s="164"/>
      <c r="K14" s="49" t="s">
        <v>48</v>
      </c>
      <c r="L14" s="165"/>
      <c r="M14" s="49" t="s">
        <v>48</v>
      </c>
    </row>
    <row r="15" ht="58" customHeight="1" spans="1:13">
      <c r="A15" s="166">
        <v>9</v>
      </c>
      <c r="B15" s="166">
        <v>3</v>
      </c>
      <c r="C15" s="166" t="s">
        <v>73</v>
      </c>
      <c r="D15" s="14" t="s">
        <v>74</v>
      </c>
      <c r="E15" s="14" t="s">
        <v>75</v>
      </c>
      <c r="F15" s="14" t="s">
        <v>76</v>
      </c>
      <c r="G15" s="163">
        <v>2.5</v>
      </c>
      <c r="H15" s="163" t="s">
        <v>46</v>
      </c>
      <c r="I15" s="164" t="s">
        <v>47</v>
      </c>
      <c r="J15" s="164"/>
      <c r="K15" s="49" t="s">
        <v>48</v>
      </c>
      <c r="L15" s="165"/>
      <c r="M15" s="49" t="s">
        <v>48</v>
      </c>
    </row>
    <row r="16" ht="58" customHeight="1" spans="1:13">
      <c r="A16" s="166">
        <v>10</v>
      </c>
      <c r="B16" s="166">
        <v>3</v>
      </c>
      <c r="C16" s="166" t="s">
        <v>73</v>
      </c>
      <c r="D16" s="14" t="s">
        <v>77</v>
      </c>
      <c r="E16" s="14" t="s">
        <v>78</v>
      </c>
      <c r="F16" s="14" t="s">
        <v>79</v>
      </c>
      <c r="G16" s="163">
        <v>2.5</v>
      </c>
      <c r="H16" s="163" t="s">
        <v>46</v>
      </c>
      <c r="I16" s="164" t="s">
        <v>47</v>
      </c>
      <c r="J16" s="164"/>
      <c r="K16" s="49" t="s">
        <v>48</v>
      </c>
      <c r="L16" s="165"/>
      <c r="M16" s="49" t="s">
        <v>48</v>
      </c>
    </row>
    <row r="17" ht="58" customHeight="1" spans="1:13">
      <c r="A17" s="166">
        <v>11</v>
      </c>
      <c r="B17" s="166">
        <v>3</v>
      </c>
      <c r="C17" s="166" t="s">
        <v>73</v>
      </c>
      <c r="D17" s="14" t="s">
        <v>80</v>
      </c>
      <c r="E17" s="14" t="s">
        <v>81</v>
      </c>
      <c r="F17" s="14" t="s">
        <v>82</v>
      </c>
      <c r="G17" s="163">
        <v>2.5</v>
      </c>
      <c r="H17" s="163" t="s">
        <v>46</v>
      </c>
      <c r="I17" s="164" t="s">
        <v>47</v>
      </c>
      <c r="J17" s="164"/>
      <c r="K17" s="49" t="s">
        <v>48</v>
      </c>
      <c r="L17" s="165"/>
      <c r="M17" s="49" t="s">
        <v>48</v>
      </c>
    </row>
    <row r="18" ht="58" customHeight="1" spans="1:13">
      <c r="A18" s="166">
        <v>12</v>
      </c>
      <c r="B18" s="166">
        <v>3</v>
      </c>
      <c r="C18" s="166" t="s">
        <v>73</v>
      </c>
      <c r="D18" s="14" t="s">
        <v>83</v>
      </c>
      <c r="E18" s="14" t="s">
        <v>84</v>
      </c>
      <c r="F18" s="14" t="s">
        <v>85</v>
      </c>
      <c r="G18" s="163">
        <v>2.5</v>
      </c>
      <c r="H18" s="163" t="s">
        <v>52</v>
      </c>
      <c r="I18" s="164" t="s">
        <v>47</v>
      </c>
      <c r="J18" s="164"/>
      <c r="K18" s="49" t="s">
        <v>48</v>
      </c>
      <c r="L18" s="165"/>
      <c r="M18" s="49" t="s">
        <v>48</v>
      </c>
    </row>
    <row r="19" ht="58" customHeight="1" spans="1:13">
      <c r="A19" s="166">
        <v>13</v>
      </c>
      <c r="B19" s="166">
        <v>4</v>
      </c>
      <c r="C19" s="166" t="s">
        <v>73</v>
      </c>
      <c r="D19" s="14" t="s">
        <v>86</v>
      </c>
      <c r="E19" s="14" t="s">
        <v>87</v>
      </c>
      <c r="F19" s="14" t="s">
        <v>88</v>
      </c>
      <c r="G19" s="163">
        <v>2.5</v>
      </c>
      <c r="H19" s="163" t="s">
        <v>46</v>
      </c>
      <c r="I19" s="164" t="s">
        <v>47</v>
      </c>
      <c r="J19" s="164"/>
      <c r="K19" s="49" t="s">
        <v>48</v>
      </c>
      <c r="L19" s="165"/>
      <c r="M19" s="49" t="s">
        <v>48</v>
      </c>
    </row>
    <row r="20" ht="58" customHeight="1" spans="1:13">
      <c r="A20" s="166">
        <v>14</v>
      </c>
      <c r="B20" s="166">
        <v>4</v>
      </c>
      <c r="C20" s="166" t="s">
        <v>73</v>
      </c>
      <c r="D20" s="14" t="s">
        <v>89</v>
      </c>
      <c r="E20" s="14" t="s">
        <v>90</v>
      </c>
      <c r="F20" s="14" t="s">
        <v>91</v>
      </c>
      <c r="G20" s="163">
        <v>2.5</v>
      </c>
      <c r="H20" s="163" t="s">
        <v>62</v>
      </c>
      <c r="I20" s="164" t="s">
        <v>47</v>
      </c>
      <c r="J20" s="164"/>
      <c r="K20" s="49" t="s">
        <v>48</v>
      </c>
      <c r="L20" s="165"/>
      <c r="M20" s="49" t="s">
        <v>48</v>
      </c>
    </row>
    <row r="21" ht="58" customHeight="1" spans="1:13">
      <c r="A21" s="166">
        <v>15</v>
      </c>
      <c r="B21" s="166">
        <v>4</v>
      </c>
      <c r="C21" s="166" t="s">
        <v>73</v>
      </c>
      <c r="D21" s="14" t="s">
        <v>92</v>
      </c>
      <c r="E21" s="14" t="s">
        <v>93</v>
      </c>
      <c r="F21" s="14" t="s">
        <v>94</v>
      </c>
      <c r="G21" s="163">
        <v>2.5</v>
      </c>
      <c r="H21" s="163" t="s">
        <v>52</v>
      </c>
      <c r="I21" s="164" t="s">
        <v>47</v>
      </c>
      <c r="J21" s="164"/>
      <c r="K21" s="49" t="s">
        <v>48</v>
      </c>
      <c r="L21" s="165"/>
      <c r="M21" s="49" t="s">
        <v>48</v>
      </c>
    </row>
    <row r="22" ht="58" customHeight="1" spans="1:13">
      <c r="A22" s="166">
        <v>16</v>
      </c>
      <c r="B22" s="166">
        <v>4</v>
      </c>
      <c r="C22" s="166" t="s">
        <v>73</v>
      </c>
      <c r="D22" s="14" t="s">
        <v>95</v>
      </c>
      <c r="E22" s="14" t="s">
        <v>96</v>
      </c>
      <c r="F22" s="14" t="s">
        <v>97</v>
      </c>
      <c r="G22" s="163">
        <v>2.5</v>
      </c>
      <c r="H22" s="163" t="s">
        <v>72</v>
      </c>
      <c r="I22" s="164" t="s">
        <v>47</v>
      </c>
      <c r="J22" s="164"/>
      <c r="K22" s="49" t="s">
        <v>48</v>
      </c>
      <c r="L22" s="165"/>
      <c r="M22" s="49" t="s">
        <v>48</v>
      </c>
    </row>
    <row r="23" ht="58" customHeight="1" spans="1:13">
      <c r="A23" s="167">
        <v>17</v>
      </c>
      <c r="B23" s="167">
        <v>5</v>
      </c>
      <c r="C23" s="167" t="s">
        <v>98</v>
      </c>
      <c r="D23" s="14" t="s">
        <v>99</v>
      </c>
      <c r="E23" s="14" t="s">
        <v>100</v>
      </c>
      <c r="F23" s="14" t="s">
        <v>101</v>
      </c>
      <c r="G23" s="163">
        <v>2.5</v>
      </c>
      <c r="H23" s="163" t="s">
        <v>46</v>
      </c>
      <c r="I23" s="164" t="s">
        <v>47</v>
      </c>
      <c r="J23" s="164"/>
      <c r="K23" s="49" t="s">
        <v>48</v>
      </c>
      <c r="L23" s="165"/>
      <c r="M23" s="49" t="s">
        <v>48</v>
      </c>
    </row>
    <row r="24" ht="58" customHeight="1" spans="1:13">
      <c r="A24" s="167">
        <v>18</v>
      </c>
      <c r="B24" s="167">
        <v>5</v>
      </c>
      <c r="C24" s="167" t="s">
        <v>98</v>
      </c>
      <c r="D24" s="14" t="s">
        <v>102</v>
      </c>
      <c r="E24" s="14" t="s">
        <v>103</v>
      </c>
      <c r="F24" s="14" t="s">
        <v>104</v>
      </c>
      <c r="G24" s="163">
        <v>2.5</v>
      </c>
      <c r="H24" s="163" t="s">
        <v>46</v>
      </c>
      <c r="I24" s="164" t="s">
        <v>47</v>
      </c>
      <c r="J24" s="164"/>
      <c r="K24" s="49" t="s">
        <v>48</v>
      </c>
      <c r="L24" s="165"/>
      <c r="M24" s="49" t="s">
        <v>48</v>
      </c>
    </row>
    <row r="25" ht="58" customHeight="1" spans="1:13">
      <c r="A25" s="167">
        <v>19</v>
      </c>
      <c r="B25" s="167">
        <v>5</v>
      </c>
      <c r="C25" s="167" t="s">
        <v>98</v>
      </c>
      <c r="D25" s="14" t="s">
        <v>105</v>
      </c>
      <c r="E25" s="14" t="s">
        <v>106</v>
      </c>
      <c r="F25" s="14" t="s">
        <v>107</v>
      </c>
      <c r="G25" s="163">
        <v>2.5</v>
      </c>
      <c r="H25" s="163" t="s">
        <v>52</v>
      </c>
      <c r="I25" s="164" t="s">
        <v>47</v>
      </c>
      <c r="J25" s="164"/>
      <c r="K25" s="49" t="s">
        <v>48</v>
      </c>
      <c r="L25" s="165"/>
      <c r="M25" s="49" t="s">
        <v>48</v>
      </c>
    </row>
    <row r="26" ht="58" customHeight="1" spans="1:13">
      <c r="A26" s="167">
        <v>20</v>
      </c>
      <c r="B26" s="167">
        <v>5</v>
      </c>
      <c r="C26" s="167" t="s">
        <v>98</v>
      </c>
      <c r="D26" s="14" t="s">
        <v>108</v>
      </c>
      <c r="E26" s="14" t="s">
        <v>109</v>
      </c>
      <c r="F26" s="14" t="s">
        <v>110</v>
      </c>
      <c r="G26" s="163">
        <v>2.5</v>
      </c>
      <c r="H26" s="163" t="s">
        <v>46</v>
      </c>
      <c r="I26" s="164" t="s">
        <v>47</v>
      </c>
      <c r="J26" s="164"/>
      <c r="K26" s="49" t="s">
        <v>48</v>
      </c>
      <c r="L26" s="165"/>
      <c r="M26" s="49" t="s">
        <v>48</v>
      </c>
    </row>
    <row r="27" ht="58" customHeight="1" spans="1:13">
      <c r="A27" s="167">
        <v>21</v>
      </c>
      <c r="B27" s="167">
        <v>6</v>
      </c>
      <c r="C27" s="167" t="s">
        <v>98</v>
      </c>
      <c r="D27" s="14" t="s">
        <v>111</v>
      </c>
      <c r="E27" s="14" t="s">
        <v>112</v>
      </c>
      <c r="F27" s="14" t="s">
        <v>113</v>
      </c>
      <c r="G27" s="163">
        <v>2.5</v>
      </c>
      <c r="H27" s="163" t="s">
        <v>46</v>
      </c>
      <c r="I27" s="164" t="s">
        <v>47</v>
      </c>
      <c r="J27" s="164"/>
      <c r="K27" s="49" t="s">
        <v>48</v>
      </c>
      <c r="L27" s="165"/>
      <c r="M27" s="49" t="s">
        <v>48</v>
      </c>
    </row>
    <row r="28" ht="58" customHeight="1" spans="1:13">
      <c r="A28" s="167">
        <v>22</v>
      </c>
      <c r="B28" s="167">
        <v>6</v>
      </c>
      <c r="C28" s="167" t="s">
        <v>98</v>
      </c>
      <c r="D28" s="14" t="s">
        <v>114</v>
      </c>
      <c r="E28" s="14" t="s">
        <v>115</v>
      </c>
      <c r="F28" s="14" t="s">
        <v>116</v>
      </c>
      <c r="G28" s="163">
        <v>2.5</v>
      </c>
      <c r="H28" s="163" t="s">
        <v>117</v>
      </c>
      <c r="I28" s="164" t="s">
        <v>47</v>
      </c>
      <c r="J28" s="164"/>
      <c r="K28" s="49" t="s">
        <v>48</v>
      </c>
      <c r="L28" s="165"/>
      <c r="M28" s="49" t="s">
        <v>48</v>
      </c>
    </row>
    <row r="29" ht="58" customHeight="1" spans="1:13">
      <c r="A29" s="167">
        <v>23</v>
      </c>
      <c r="B29" s="167">
        <v>6</v>
      </c>
      <c r="C29" s="167" t="s">
        <v>98</v>
      </c>
      <c r="D29" s="14" t="s">
        <v>118</v>
      </c>
      <c r="E29" s="14" t="s">
        <v>119</v>
      </c>
      <c r="F29" s="14" t="s">
        <v>120</v>
      </c>
      <c r="G29" s="163">
        <v>2.5</v>
      </c>
      <c r="H29" s="163" t="s">
        <v>52</v>
      </c>
      <c r="I29" s="164" t="s">
        <v>47</v>
      </c>
      <c r="J29" s="164"/>
      <c r="K29" s="49" t="s">
        <v>48</v>
      </c>
      <c r="L29" s="165"/>
      <c r="M29" s="49" t="s">
        <v>48</v>
      </c>
    </row>
    <row r="30" ht="58" customHeight="1" spans="1:13">
      <c r="A30" s="167">
        <v>24</v>
      </c>
      <c r="B30" s="167">
        <v>6</v>
      </c>
      <c r="C30" s="167" t="s">
        <v>98</v>
      </c>
      <c r="D30" s="14" t="s">
        <v>121</v>
      </c>
      <c r="E30" s="14" t="s">
        <v>122</v>
      </c>
      <c r="F30" s="14" t="s">
        <v>123</v>
      </c>
      <c r="G30" s="163">
        <v>2.5</v>
      </c>
      <c r="H30" s="163" t="s">
        <v>46</v>
      </c>
      <c r="I30" s="164" t="s">
        <v>47</v>
      </c>
      <c r="J30" s="164"/>
      <c r="K30" s="49" t="s">
        <v>48</v>
      </c>
      <c r="L30" s="165"/>
      <c r="M30" s="49" t="s">
        <v>48</v>
      </c>
    </row>
    <row r="31" ht="58" customHeight="1" spans="1:13">
      <c r="A31" s="168">
        <v>25</v>
      </c>
      <c r="B31" s="168">
        <v>7</v>
      </c>
      <c r="C31" s="168" t="s">
        <v>124</v>
      </c>
      <c r="D31" s="14" t="s">
        <v>125</v>
      </c>
      <c r="E31" s="14" t="s">
        <v>126</v>
      </c>
      <c r="F31" s="14" t="s">
        <v>127</v>
      </c>
      <c r="G31" s="163">
        <v>2.5</v>
      </c>
      <c r="H31" s="163" t="s">
        <v>46</v>
      </c>
      <c r="I31" s="164" t="s">
        <v>47</v>
      </c>
      <c r="J31" s="164"/>
      <c r="K31" s="49" t="s">
        <v>48</v>
      </c>
      <c r="L31" s="165"/>
      <c r="M31" s="49" t="s">
        <v>48</v>
      </c>
    </row>
    <row r="32" ht="58" customHeight="1" spans="1:13">
      <c r="A32" s="168">
        <v>26</v>
      </c>
      <c r="B32" s="168">
        <v>7</v>
      </c>
      <c r="C32" s="168" t="s">
        <v>124</v>
      </c>
      <c r="D32" s="14" t="s">
        <v>128</v>
      </c>
      <c r="E32" s="14" t="s">
        <v>129</v>
      </c>
      <c r="F32" s="14" t="s">
        <v>130</v>
      </c>
      <c r="G32" s="163">
        <v>2.5</v>
      </c>
      <c r="H32" s="163" t="s">
        <v>117</v>
      </c>
      <c r="I32" s="164" t="s">
        <v>47</v>
      </c>
      <c r="J32" s="164"/>
      <c r="K32" s="49" t="s">
        <v>48</v>
      </c>
      <c r="L32" s="165"/>
      <c r="M32" s="49" t="s">
        <v>48</v>
      </c>
    </row>
    <row r="33" ht="58" customHeight="1" spans="1:13">
      <c r="A33" s="168">
        <v>27</v>
      </c>
      <c r="B33" s="168">
        <v>7</v>
      </c>
      <c r="C33" s="168" t="s">
        <v>124</v>
      </c>
      <c r="D33" s="14" t="s">
        <v>131</v>
      </c>
      <c r="E33" s="14" t="s">
        <v>132</v>
      </c>
      <c r="F33" s="14" t="s">
        <v>133</v>
      </c>
      <c r="G33" s="163">
        <v>2.5</v>
      </c>
      <c r="H33" s="163" t="s">
        <v>46</v>
      </c>
      <c r="I33" s="164" t="s">
        <v>47</v>
      </c>
      <c r="J33" s="164"/>
      <c r="K33" s="49" t="s">
        <v>48</v>
      </c>
      <c r="L33" s="165"/>
      <c r="M33" s="49" t="s">
        <v>48</v>
      </c>
    </row>
    <row r="34" ht="58" customHeight="1" spans="1:13">
      <c r="A34" s="168">
        <v>28</v>
      </c>
      <c r="B34" s="168">
        <v>7</v>
      </c>
      <c r="C34" s="168" t="s">
        <v>124</v>
      </c>
      <c r="D34" s="14" t="s">
        <v>134</v>
      </c>
      <c r="E34" s="14" t="s">
        <v>135</v>
      </c>
      <c r="F34" s="14" t="s">
        <v>136</v>
      </c>
      <c r="G34" s="163">
        <v>2.5</v>
      </c>
      <c r="H34" s="163" t="s">
        <v>137</v>
      </c>
      <c r="I34" s="164" t="s">
        <v>47</v>
      </c>
      <c r="J34" s="164"/>
      <c r="K34" s="49" t="s">
        <v>48</v>
      </c>
      <c r="L34" s="165"/>
      <c r="M34" s="49" t="s">
        <v>48</v>
      </c>
    </row>
    <row r="35" ht="58" customHeight="1" spans="1:13">
      <c r="A35" s="168">
        <v>29</v>
      </c>
      <c r="B35" s="168">
        <v>8</v>
      </c>
      <c r="C35" s="168" t="s">
        <v>124</v>
      </c>
      <c r="D35" s="14" t="s">
        <v>138</v>
      </c>
      <c r="E35" s="14" t="s">
        <v>139</v>
      </c>
      <c r="F35" s="14" t="s">
        <v>140</v>
      </c>
      <c r="G35" s="163">
        <v>2.5</v>
      </c>
      <c r="H35" s="163" t="s">
        <v>46</v>
      </c>
      <c r="I35" s="164" t="s">
        <v>47</v>
      </c>
      <c r="J35" s="164"/>
      <c r="K35" s="49" t="s">
        <v>48</v>
      </c>
      <c r="L35" s="165"/>
      <c r="M35" s="49" t="s">
        <v>48</v>
      </c>
    </row>
    <row r="36" ht="58" customHeight="1" spans="1:13">
      <c r="A36" s="168">
        <v>30</v>
      </c>
      <c r="B36" s="168">
        <v>8</v>
      </c>
      <c r="C36" s="168" t="s">
        <v>124</v>
      </c>
      <c r="D36" s="14" t="s">
        <v>141</v>
      </c>
      <c r="E36" s="14" t="s">
        <v>142</v>
      </c>
      <c r="F36" s="14" t="s">
        <v>143</v>
      </c>
      <c r="G36" s="163">
        <v>2.5</v>
      </c>
      <c r="H36" s="163" t="s">
        <v>144</v>
      </c>
      <c r="I36" s="164" t="s">
        <v>47</v>
      </c>
      <c r="J36" s="164"/>
      <c r="K36" s="49" t="s">
        <v>48</v>
      </c>
      <c r="L36" s="165"/>
      <c r="M36" s="49" t="s">
        <v>48</v>
      </c>
    </row>
    <row r="37" ht="58" customHeight="1" spans="1:13">
      <c r="A37" s="168">
        <v>31</v>
      </c>
      <c r="B37" s="168">
        <v>8</v>
      </c>
      <c r="C37" s="168" t="s">
        <v>124</v>
      </c>
      <c r="D37" s="14" t="s">
        <v>145</v>
      </c>
      <c r="E37" s="14" t="s">
        <v>146</v>
      </c>
      <c r="F37" s="14" t="s">
        <v>147</v>
      </c>
      <c r="G37" s="163">
        <v>2.5</v>
      </c>
      <c r="H37" s="163" t="s">
        <v>148</v>
      </c>
      <c r="I37" s="164" t="s">
        <v>47</v>
      </c>
      <c r="J37" s="164"/>
      <c r="K37" s="49" t="s">
        <v>48</v>
      </c>
      <c r="L37" s="165"/>
      <c r="M37" s="49" t="s">
        <v>48</v>
      </c>
    </row>
    <row r="38" ht="58" customHeight="1" spans="1:13">
      <c r="A38" s="169">
        <v>32</v>
      </c>
      <c r="B38" s="169">
        <v>8</v>
      </c>
      <c r="C38" s="169" t="s">
        <v>124</v>
      </c>
      <c r="D38" s="18" t="s">
        <v>149</v>
      </c>
      <c r="E38" s="18" t="s">
        <v>150</v>
      </c>
      <c r="F38" s="18" t="s">
        <v>151</v>
      </c>
      <c r="G38" s="170">
        <v>2.5</v>
      </c>
      <c r="H38" s="170" t="s">
        <v>152</v>
      </c>
      <c r="I38" s="171" t="s">
        <v>47</v>
      </c>
      <c r="J38" s="171"/>
      <c r="K38" s="52" t="s">
        <v>48</v>
      </c>
      <c r="L38" s="172"/>
      <c r="M38" s="52" t="s">
        <v>48</v>
      </c>
    </row>
  </sheetData>
  <mergeCells count="3">
    <mergeCell ref="A1:M1"/>
    <mergeCell ref="A2:M2"/>
    <mergeCell ref="A4:M4"/>
  </mergeCells>
  <conditionalFormatting sqref="I7:I38">
    <cfRule type="containsText" dxfId="0" priority="1" operator="between" text="Hoàn thành">
      <formula>NOT(ISERROR(SEARCH("Hoàn thành",I7)))</formula>
    </cfRule>
    <cfRule type="containsText" dxfId="1" priority="2" operator="between" text="Đang học">
      <formula>NOT(ISERROR(SEARCH("Đang học",I7)))</formula>
    </cfRule>
    <cfRule type="containsText" dxfId="2" priority="3" operator="between" text="Cần ôn lại">
      <formula>NOT(ISERROR(SEARCH("Cần ôn lại",I7)))</formula>
    </cfRule>
    <cfRule type="containsText" dxfId="3" priority="4" operator="between" text="Bỏ qua">
      <formula>NOT(ISERROR(SEARCH("Bỏ qua",I7)))</formula>
    </cfRule>
  </conditionalFormatting>
  <conditionalFormatting sqref="J7:J38">
    <cfRule type="colorScale" priority="5">
      <colorScale>
        <cfvo type="min"/>
        <cfvo type="percentile" val="50"/>
        <cfvo type="max"/>
        <color rgb="FFFCA5A5"/>
        <color rgb="FFFDE68A"/>
        <color rgb="FF86EFAC"/>
      </colorScale>
    </cfRule>
  </conditionalFormatting>
  <dataValidations count="2">
    <dataValidation type="list" sqref="I7:I38">
      <formula1>"Chưa học,Đang học,Cần ôn lại,Hoàn thành,Bỏ qua"</formula1>
    </dataValidation>
    <dataValidation type="decimal" operator="between" sqref="J7:J38">
      <formula1>0</formula1>
      <formula2>10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showGridLines="0" tabSelected="1" workbookViewId="0">
      <selection activeCell="A1" sqref="A1:H1"/>
    </sheetView>
  </sheetViews>
  <sheetFormatPr defaultColWidth="9" defaultRowHeight="16.8" outlineLevelCol="7"/>
  <cols>
    <col min="1" max="2" width="14" customWidth="1"/>
    <col min="3" max="8" width="18" customWidth="1"/>
  </cols>
  <sheetData>
    <row r="1" ht="40" customHeight="1" spans="1:8">
      <c r="A1" s="1" t="s">
        <v>153</v>
      </c>
      <c r="B1" s="1"/>
      <c r="C1" s="1"/>
      <c r="D1" s="1"/>
      <c r="E1" s="1"/>
      <c r="F1" s="1"/>
      <c r="G1" s="1"/>
      <c r="H1" s="1"/>
    </row>
    <row r="2" ht="30" customHeight="1" spans="1:8">
      <c r="A2" s="137" t="s">
        <v>154</v>
      </c>
      <c r="B2" s="137"/>
      <c r="C2" s="137"/>
      <c r="D2" s="137"/>
      <c r="E2" s="137"/>
      <c r="F2" s="137"/>
      <c r="G2" s="137"/>
      <c r="H2" s="137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138" t="s">
        <v>155</v>
      </c>
      <c r="B4" s="139"/>
      <c r="C4" s="139"/>
      <c r="D4" s="139"/>
      <c r="E4" s="139"/>
      <c r="F4" s="139"/>
      <c r="G4" s="139"/>
      <c r="H4" s="140"/>
    </row>
    <row r="5" spans="1:8">
      <c r="A5" s="3"/>
      <c r="B5" s="3"/>
      <c r="C5" s="3"/>
      <c r="D5" s="3"/>
      <c r="E5" s="3"/>
      <c r="F5" s="3"/>
      <c r="G5" s="3"/>
      <c r="H5" s="3"/>
    </row>
    <row r="6" ht="32" customHeight="1" spans="1:8">
      <c r="A6" s="141" t="s">
        <v>156</v>
      </c>
      <c r="B6" s="142"/>
      <c r="C6" s="142"/>
      <c r="D6" s="142"/>
      <c r="E6" s="142"/>
      <c r="F6" s="142"/>
      <c r="G6" s="142"/>
      <c r="H6" s="143"/>
    </row>
    <row r="7" spans="1:8">
      <c r="A7" s="144" t="s">
        <v>157</v>
      </c>
      <c r="B7" s="82"/>
      <c r="C7" s="82" t="s">
        <v>158</v>
      </c>
      <c r="D7" s="82"/>
      <c r="E7" s="82" t="s">
        <v>159</v>
      </c>
      <c r="F7" s="82"/>
      <c r="G7" s="82" t="s">
        <v>160</v>
      </c>
      <c r="H7" s="145"/>
    </row>
    <row r="8" ht="38" customHeight="1" spans="1:8">
      <c r="A8" s="146" t="s">
        <v>161</v>
      </c>
      <c r="B8" s="147"/>
      <c r="C8" s="86" t="s">
        <v>44</v>
      </c>
      <c r="D8" s="86"/>
      <c r="E8" s="86"/>
      <c r="F8" s="86"/>
      <c r="G8" s="86"/>
      <c r="H8" s="148"/>
    </row>
    <row r="9" ht="62" customHeight="1" spans="1:8">
      <c r="A9" s="146" t="s">
        <v>162</v>
      </c>
      <c r="B9" s="147"/>
      <c r="C9" s="86" t="s">
        <v>163</v>
      </c>
      <c r="D9" s="86"/>
      <c r="E9" s="86"/>
      <c r="F9" s="86"/>
      <c r="G9" s="86"/>
      <c r="H9" s="148"/>
    </row>
    <row r="10" ht="56" customHeight="1" spans="1:8">
      <c r="A10" s="146" t="s">
        <v>164</v>
      </c>
      <c r="B10" s="147"/>
      <c r="C10" s="88" t="s">
        <v>165</v>
      </c>
      <c r="D10" s="88"/>
      <c r="E10" s="88"/>
      <c r="F10" s="88"/>
      <c r="G10" s="88"/>
      <c r="H10" s="149"/>
    </row>
    <row r="11" ht="46" customHeight="1" spans="1:8">
      <c r="A11" s="146" t="s">
        <v>166</v>
      </c>
      <c r="B11" s="147"/>
      <c r="C11" s="86" t="s">
        <v>167</v>
      </c>
      <c r="D11" s="86"/>
      <c r="E11" s="86"/>
      <c r="F11" s="86"/>
      <c r="G11" s="86"/>
      <c r="H11" s="148"/>
    </row>
    <row r="12" ht="48" customHeight="1" spans="1:8">
      <c r="A12" s="146" t="s">
        <v>168</v>
      </c>
      <c r="B12" s="147"/>
      <c r="C12" s="90" t="s">
        <v>169</v>
      </c>
      <c r="D12" s="90"/>
      <c r="E12" s="90"/>
      <c r="F12" s="90"/>
      <c r="G12" s="90"/>
      <c r="H12" s="150"/>
    </row>
    <row r="13" ht="46" customHeight="1" spans="1:8">
      <c r="A13" s="146" t="s">
        <v>170</v>
      </c>
      <c r="B13" s="147"/>
      <c r="C13" s="86" t="s">
        <v>171</v>
      </c>
      <c r="D13" s="86"/>
      <c r="E13" s="86"/>
      <c r="F13" s="86"/>
      <c r="G13" s="86"/>
      <c r="H13" s="148"/>
    </row>
    <row r="14" ht="44" customHeight="1" spans="1:8">
      <c r="A14" s="146" t="s">
        <v>172</v>
      </c>
      <c r="B14" s="147"/>
      <c r="C14" s="86" t="s">
        <v>45</v>
      </c>
      <c r="D14" s="86"/>
      <c r="E14" s="86"/>
      <c r="F14" s="86"/>
      <c r="G14" s="86"/>
      <c r="H14" s="148"/>
    </row>
    <row r="15" ht="48" customHeight="1" spans="1:8">
      <c r="A15" s="146" t="s">
        <v>173</v>
      </c>
      <c r="B15" s="147"/>
      <c r="C15" s="92" t="s">
        <v>174</v>
      </c>
      <c r="D15" s="92"/>
      <c r="E15" s="92"/>
      <c r="F15" s="92"/>
      <c r="G15" s="92"/>
      <c r="H15" s="151"/>
    </row>
    <row r="16" ht="38" customHeight="1" spans="1:8">
      <c r="A16" s="152" t="s">
        <v>175</v>
      </c>
      <c r="B16" s="153"/>
      <c r="C16" s="154" t="s">
        <v>160</v>
      </c>
      <c r="D16" s="154"/>
      <c r="E16" s="155" t="s">
        <v>176</v>
      </c>
      <c r="F16" s="155"/>
      <c r="G16" s="155"/>
      <c r="H16" s="156"/>
    </row>
    <row r="17" ht="14" customHeight="1" spans="1:8">
      <c r="A17" s="3"/>
      <c r="B17" s="3"/>
      <c r="C17" s="3"/>
      <c r="D17" s="3"/>
      <c r="E17" s="3"/>
      <c r="F17" s="3"/>
      <c r="G17" s="3"/>
      <c r="H17" s="3"/>
    </row>
    <row r="18" ht="32" customHeight="1" spans="1:8">
      <c r="A18" s="141" t="s">
        <v>177</v>
      </c>
      <c r="B18" s="142"/>
      <c r="C18" s="142"/>
      <c r="D18" s="142"/>
      <c r="E18" s="142"/>
      <c r="F18" s="142"/>
      <c r="G18" s="142"/>
      <c r="H18" s="143"/>
    </row>
    <row r="19" spans="1:8">
      <c r="A19" s="144" t="s">
        <v>157</v>
      </c>
      <c r="B19" s="82"/>
      <c r="C19" s="82" t="s">
        <v>178</v>
      </c>
      <c r="D19" s="82"/>
      <c r="E19" s="82" t="s">
        <v>159</v>
      </c>
      <c r="F19" s="82"/>
      <c r="G19" s="82" t="s">
        <v>179</v>
      </c>
      <c r="H19" s="145"/>
    </row>
    <row r="20" ht="38" customHeight="1" spans="1:8">
      <c r="A20" s="146" t="s">
        <v>161</v>
      </c>
      <c r="B20" s="147"/>
      <c r="C20" s="86" t="s">
        <v>50</v>
      </c>
      <c r="D20" s="86"/>
      <c r="E20" s="86"/>
      <c r="F20" s="86"/>
      <c r="G20" s="86"/>
      <c r="H20" s="148"/>
    </row>
    <row r="21" ht="62" customHeight="1" spans="1:8">
      <c r="A21" s="146" t="s">
        <v>162</v>
      </c>
      <c r="B21" s="147"/>
      <c r="C21" s="86" t="s">
        <v>180</v>
      </c>
      <c r="D21" s="86"/>
      <c r="E21" s="86"/>
      <c r="F21" s="86"/>
      <c r="G21" s="86"/>
      <c r="H21" s="148"/>
    </row>
    <row r="22" ht="56" customHeight="1" spans="1:8">
      <c r="A22" s="146" t="s">
        <v>164</v>
      </c>
      <c r="B22" s="147"/>
      <c r="C22" s="88" t="s">
        <v>181</v>
      </c>
      <c r="D22" s="88"/>
      <c r="E22" s="88"/>
      <c r="F22" s="88"/>
      <c r="G22" s="88"/>
      <c r="H22" s="149"/>
    </row>
    <row r="23" ht="46" customHeight="1" spans="1:8">
      <c r="A23" s="146" t="s">
        <v>166</v>
      </c>
      <c r="B23" s="147"/>
      <c r="C23" s="86" t="s">
        <v>182</v>
      </c>
      <c r="D23" s="86"/>
      <c r="E23" s="86"/>
      <c r="F23" s="86"/>
      <c r="G23" s="86"/>
      <c r="H23" s="148"/>
    </row>
    <row r="24" ht="48" customHeight="1" spans="1:8">
      <c r="A24" s="146" t="s">
        <v>168</v>
      </c>
      <c r="B24" s="147"/>
      <c r="C24" s="90" t="s">
        <v>183</v>
      </c>
      <c r="D24" s="90"/>
      <c r="E24" s="90"/>
      <c r="F24" s="90"/>
      <c r="G24" s="90"/>
      <c r="H24" s="150"/>
    </row>
    <row r="25" ht="46" customHeight="1" spans="1:8">
      <c r="A25" s="146" t="s">
        <v>170</v>
      </c>
      <c r="B25" s="147"/>
      <c r="C25" s="86" t="s">
        <v>184</v>
      </c>
      <c r="D25" s="86"/>
      <c r="E25" s="86"/>
      <c r="F25" s="86"/>
      <c r="G25" s="86"/>
      <c r="H25" s="148"/>
    </row>
    <row r="26" ht="44" customHeight="1" spans="1:8">
      <c r="A26" s="146" t="s">
        <v>172</v>
      </c>
      <c r="B26" s="147"/>
      <c r="C26" s="86" t="s">
        <v>51</v>
      </c>
      <c r="D26" s="86"/>
      <c r="E26" s="86"/>
      <c r="F26" s="86"/>
      <c r="G26" s="86"/>
      <c r="H26" s="148"/>
    </row>
    <row r="27" ht="48" customHeight="1" spans="1:8">
      <c r="A27" s="146" t="s">
        <v>173</v>
      </c>
      <c r="B27" s="147"/>
      <c r="C27" s="92" t="s">
        <v>185</v>
      </c>
      <c r="D27" s="92"/>
      <c r="E27" s="92"/>
      <c r="F27" s="92"/>
      <c r="G27" s="92"/>
      <c r="H27" s="151"/>
    </row>
    <row r="28" ht="38" customHeight="1" spans="1:8">
      <c r="A28" s="152" t="s">
        <v>175</v>
      </c>
      <c r="B28" s="153"/>
      <c r="C28" s="154" t="s">
        <v>179</v>
      </c>
      <c r="D28" s="154"/>
      <c r="E28" s="155" t="s">
        <v>186</v>
      </c>
      <c r="F28" s="155"/>
      <c r="G28" s="155"/>
      <c r="H28" s="156"/>
    </row>
    <row r="29" ht="14" customHeight="1" spans="1:8">
      <c r="A29" s="3"/>
      <c r="B29" s="3"/>
      <c r="C29" s="3"/>
      <c r="D29" s="3"/>
      <c r="E29" s="3"/>
      <c r="F29" s="3"/>
      <c r="G29" s="3"/>
      <c r="H29" s="3"/>
    </row>
    <row r="30" ht="32" customHeight="1" spans="1:8">
      <c r="A30" s="141" t="s">
        <v>187</v>
      </c>
      <c r="B30" s="142"/>
      <c r="C30" s="142"/>
      <c r="D30" s="142"/>
      <c r="E30" s="142"/>
      <c r="F30" s="142"/>
      <c r="G30" s="142"/>
      <c r="H30" s="143"/>
    </row>
    <row r="31" spans="1:8">
      <c r="A31" s="144" t="s">
        <v>157</v>
      </c>
      <c r="B31" s="82"/>
      <c r="C31" s="82" t="s">
        <v>158</v>
      </c>
      <c r="D31" s="82"/>
      <c r="E31" s="82" t="s">
        <v>159</v>
      </c>
      <c r="F31" s="82"/>
      <c r="G31" s="82" t="s">
        <v>188</v>
      </c>
      <c r="H31" s="145"/>
    </row>
    <row r="32" ht="38" customHeight="1" spans="1:8">
      <c r="A32" s="146" t="s">
        <v>161</v>
      </c>
      <c r="B32" s="147"/>
      <c r="C32" s="86" t="s">
        <v>54</v>
      </c>
      <c r="D32" s="86"/>
      <c r="E32" s="86"/>
      <c r="F32" s="86"/>
      <c r="G32" s="86"/>
      <c r="H32" s="148"/>
    </row>
    <row r="33" ht="62" customHeight="1" spans="1:8">
      <c r="A33" s="146" t="s">
        <v>162</v>
      </c>
      <c r="B33" s="147"/>
      <c r="C33" s="86" t="s">
        <v>189</v>
      </c>
      <c r="D33" s="86"/>
      <c r="E33" s="86"/>
      <c r="F33" s="86"/>
      <c r="G33" s="86"/>
      <c r="H33" s="148"/>
    </row>
    <row r="34" ht="56" customHeight="1" spans="1:8">
      <c r="A34" s="146" t="s">
        <v>164</v>
      </c>
      <c r="B34" s="147"/>
      <c r="C34" s="88" t="s">
        <v>190</v>
      </c>
      <c r="D34" s="88"/>
      <c r="E34" s="88"/>
      <c r="F34" s="88"/>
      <c r="G34" s="88"/>
      <c r="H34" s="149"/>
    </row>
    <row r="35" ht="46" customHeight="1" spans="1:8">
      <c r="A35" s="146" t="s">
        <v>166</v>
      </c>
      <c r="B35" s="147"/>
      <c r="C35" s="86" t="s">
        <v>191</v>
      </c>
      <c r="D35" s="86"/>
      <c r="E35" s="86"/>
      <c r="F35" s="86"/>
      <c r="G35" s="86"/>
      <c r="H35" s="148"/>
    </row>
    <row r="36" ht="48" customHeight="1" spans="1:8">
      <c r="A36" s="146" t="s">
        <v>168</v>
      </c>
      <c r="B36" s="147"/>
      <c r="C36" s="90" t="s">
        <v>192</v>
      </c>
      <c r="D36" s="90"/>
      <c r="E36" s="90"/>
      <c r="F36" s="90"/>
      <c r="G36" s="90"/>
      <c r="H36" s="150"/>
    </row>
    <row r="37" ht="46" customHeight="1" spans="1:8">
      <c r="A37" s="146" t="s">
        <v>170</v>
      </c>
      <c r="B37" s="147"/>
      <c r="C37" s="86" t="s">
        <v>193</v>
      </c>
      <c r="D37" s="86"/>
      <c r="E37" s="86"/>
      <c r="F37" s="86"/>
      <c r="G37" s="86"/>
      <c r="H37" s="148"/>
    </row>
    <row r="38" ht="44" customHeight="1" spans="1:8">
      <c r="A38" s="146" t="s">
        <v>172</v>
      </c>
      <c r="B38" s="147"/>
      <c r="C38" s="86" t="s">
        <v>55</v>
      </c>
      <c r="D38" s="86"/>
      <c r="E38" s="86"/>
      <c r="F38" s="86"/>
      <c r="G38" s="86"/>
      <c r="H38" s="148"/>
    </row>
    <row r="39" ht="48" customHeight="1" spans="1:8">
      <c r="A39" s="146" t="s">
        <v>173</v>
      </c>
      <c r="B39" s="147"/>
      <c r="C39" s="92" t="s">
        <v>194</v>
      </c>
      <c r="D39" s="92"/>
      <c r="E39" s="92"/>
      <c r="F39" s="92"/>
      <c r="G39" s="92"/>
      <c r="H39" s="151"/>
    </row>
    <row r="40" ht="38" customHeight="1" spans="1:8">
      <c r="A40" s="152" t="s">
        <v>175</v>
      </c>
      <c r="B40" s="153"/>
      <c r="C40" s="154" t="s">
        <v>188</v>
      </c>
      <c r="D40" s="154"/>
      <c r="E40" s="155" t="s">
        <v>195</v>
      </c>
      <c r="F40" s="155"/>
      <c r="G40" s="155"/>
      <c r="H40" s="156"/>
    </row>
    <row r="41" ht="14" customHeight="1" spans="1:8">
      <c r="A41" s="3"/>
      <c r="B41" s="3"/>
      <c r="C41" s="3"/>
      <c r="D41" s="3"/>
      <c r="E41" s="3"/>
      <c r="F41" s="3"/>
      <c r="G41" s="3"/>
      <c r="H41" s="3"/>
    </row>
    <row r="42" ht="32" customHeight="1" spans="1:8">
      <c r="A42" s="141" t="s">
        <v>196</v>
      </c>
      <c r="B42" s="142"/>
      <c r="C42" s="142"/>
      <c r="D42" s="142"/>
      <c r="E42" s="142"/>
      <c r="F42" s="142"/>
      <c r="G42" s="142"/>
      <c r="H42" s="143"/>
    </row>
    <row r="43" spans="1:8">
      <c r="A43" s="144" t="s">
        <v>157</v>
      </c>
      <c r="B43" s="82"/>
      <c r="C43" s="82" t="s">
        <v>178</v>
      </c>
      <c r="D43" s="82"/>
      <c r="E43" s="82" t="s">
        <v>159</v>
      </c>
      <c r="F43" s="82"/>
      <c r="G43" s="82" t="s">
        <v>197</v>
      </c>
      <c r="H43" s="145"/>
    </row>
    <row r="44" ht="38" customHeight="1" spans="1:8">
      <c r="A44" s="146" t="s">
        <v>161</v>
      </c>
      <c r="B44" s="147"/>
      <c r="C44" s="86" t="s">
        <v>57</v>
      </c>
      <c r="D44" s="86"/>
      <c r="E44" s="86"/>
      <c r="F44" s="86"/>
      <c r="G44" s="86"/>
      <c r="H44" s="148"/>
    </row>
    <row r="45" ht="62" customHeight="1" spans="1:8">
      <c r="A45" s="146" t="s">
        <v>162</v>
      </c>
      <c r="B45" s="147"/>
      <c r="C45" s="86" t="s">
        <v>198</v>
      </c>
      <c r="D45" s="86"/>
      <c r="E45" s="86"/>
      <c r="F45" s="86"/>
      <c r="G45" s="86"/>
      <c r="H45" s="148"/>
    </row>
    <row r="46" ht="56" customHeight="1" spans="1:8">
      <c r="A46" s="146" t="s">
        <v>164</v>
      </c>
      <c r="B46" s="147"/>
      <c r="C46" s="88" t="s">
        <v>199</v>
      </c>
      <c r="D46" s="88"/>
      <c r="E46" s="88"/>
      <c r="F46" s="88"/>
      <c r="G46" s="88"/>
      <c r="H46" s="149"/>
    </row>
    <row r="47" ht="46" customHeight="1" spans="1:8">
      <c r="A47" s="146" t="s">
        <v>166</v>
      </c>
      <c r="B47" s="147"/>
      <c r="C47" s="86" t="s">
        <v>200</v>
      </c>
      <c r="D47" s="86"/>
      <c r="E47" s="86"/>
      <c r="F47" s="86"/>
      <c r="G47" s="86"/>
      <c r="H47" s="148"/>
    </row>
    <row r="48" ht="48" customHeight="1" spans="1:8">
      <c r="A48" s="146" t="s">
        <v>168</v>
      </c>
      <c r="B48" s="147"/>
      <c r="C48" s="90" t="s">
        <v>201</v>
      </c>
      <c r="D48" s="90"/>
      <c r="E48" s="90"/>
      <c r="F48" s="90"/>
      <c r="G48" s="90"/>
      <c r="H48" s="150"/>
    </row>
    <row r="49" ht="46" customHeight="1" spans="1:8">
      <c r="A49" s="146" t="s">
        <v>170</v>
      </c>
      <c r="B49" s="147"/>
      <c r="C49" s="86" t="s">
        <v>202</v>
      </c>
      <c r="D49" s="86"/>
      <c r="E49" s="86"/>
      <c r="F49" s="86"/>
      <c r="G49" s="86"/>
      <c r="H49" s="148"/>
    </row>
    <row r="50" ht="44" customHeight="1" spans="1:8">
      <c r="A50" s="146" t="s">
        <v>172</v>
      </c>
      <c r="B50" s="147"/>
      <c r="C50" s="86" t="s">
        <v>58</v>
      </c>
      <c r="D50" s="86"/>
      <c r="E50" s="86"/>
      <c r="F50" s="86"/>
      <c r="G50" s="86"/>
      <c r="H50" s="148"/>
    </row>
    <row r="51" ht="48" customHeight="1" spans="1:8">
      <c r="A51" s="146" t="s">
        <v>173</v>
      </c>
      <c r="B51" s="147"/>
      <c r="C51" s="92" t="s">
        <v>203</v>
      </c>
      <c r="D51" s="92"/>
      <c r="E51" s="92"/>
      <c r="F51" s="92"/>
      <c r="G51" s="92"/>
      <c r="H51" s="151"/>
    </row>
    <row r="52" ht="38" customHeight="1" spans="1:8">
      <c r="A52" s="152" t="s">
        <v>175</v>
      </c>
      <c r="B52" s="153"/>
      <c r="C52" s="154" t="s">
        <v>197</v>
      </c>
      <c r="D52" s="154"/>
      <c r="E52" s="155" t="s">
        <v>204</v>
      </c>
      <c r="F52" s="155"/>
      <c r="G52" s="155"/>
      <c r="H52" s="156"/>
    </row>
    <row r="53" ht="14" customHeight="1" spans="1:8">
      <c r="A53" s="3"/>
      <c r="B53" s="3"/>
      <c r="C53" s="3"/>
      <c r="D53" s="3"/>
      <c r="E53" s="3"/>
      <c r="F53" s="3"/>
      <c r="G53" s="3"/>
      <c r="H53" s="3"/>
    </row>
    <row r="54" ht="32" customHeight="1" spans="1:8">
      <c r="A54" s="141" t="s">
        <v>205</v>
      </c>
      <c r="B54" s="142"/>
      <c r="C54" s="142"/>
      <c r="D54" s="142"/>
      <c r="E54" s="142"/>
      <c r="F54" s="142"/>
      <c r="G54" s="142"/>
      <c r="H54" s="143"/>
    </row>
    <row r="55" spans="1:8">
      <c r="A55" s="144" t="s">
        <v>206</v>
      </c>
      <c r="B55" s="82"/>
      <c r="C55" s="82" t="s">
        <v>207</v>
      </c>
      <c r="D55" s="82"/>
      <c r="E55" s="82" t="s">
        <v>159</v>
      </c>
      <c r="F55" s="82"/>
      <c r="G55" s="82" t="s">
        <v>208</v>
      </c>
      <c r="H55" s="145"/>
    </row>
    <row r="56" ht="38" customHeight="1" spans="1:8">
      <c r="A56" s="146" t="s">
        <v>161</v>
      </c>
      <c r="B56" s="147"/>
      <c r="C56" s="86" t="s">
        <v>60</v>
      </c>
      <c r="D56" s="86"/>
      <c r="E56" s="86"/>
      <c r="F56" s="86"/>
      <c r="G56" s="86"/>
      <c r="H56" s="148"/>
    </row>
    <row r="57" ht="62" customHeight="1" spans="1:8">
      <c r="A57" s="146" t="s">
        <v>162</v>
      </c>
      <c r="B57" s="147"/>
      <c r="C57" s="86" t="s">
        <v>209</v>
      </c>
      <c r="D57" s="86"/>
      <c r="E57" s="86"/>
      <c r="F57" s="86"/>
      <c r="G57" s="86"/>
      <c r="H57" s="148"/>
    </row>
    <row r="58" ht="56" customHeight="1" spans="1:8">
      <c r="A58" s="146" t="s">
        <v>164</v>
      </c>
      <c r="B58" s="147"/>
      <c r="C58" s="88" t="s">
        <v>210</v>
      </c>
      <c r="D58" s="88"/>
      <c r="E58" s="88"/>
      <c r="F58" s="88"/>
      <c r="G58" s="88"/>
      <c r="H58" s="149"/>
    </row>
    <row r="59" ht="46" customHeight="1" spans="1:8">
      <c r="A59" s="146" t="s">
        <v>166</v>
      </c>
      <c r="B59" s="147"/>
      <c r="C59" s="86" t="s">
        <v>211</v>
      </c>
      <c r="D59" s="86"/>
      <c r="E59" s="86"/>
      <c r="F59" s="86"/>
      <c r="G59" s="86"/>
      <c r="H59" s="148"/>
    </row>
    <row r="60" ht="48" customHeight="1" spans="1:8">
      <c r="A60" s="146" t="s">
        <v>168</v>
      </c>
      <c r="B60" s="147"/>
      <c r="C60" s="90" t="s">
        <v>212</v>
      </c>
      <c r="D60" s="90"/>
      <c r="E60" s="90"/>
      <c r="F60" s="90"/>
      <c r="G60" s="90"/>
      <c r="H60" s="150"/>
    </row>
    <row r="61" ht="46" customHeight="1" spans="1:8">
      <c r="A61" s="146" t="s">
        <v>170</v>
      </c>
      <c r="B61" s="147"/>
      <c r="C61" s="86" t="s">
        <v>213</v>
      </c>
      <c r="D61" s="86"/>
      <c r="E61" s="86"/>
      <c r="F61" s="86"/>
      <c r="G61" s="86"/>
      <c r="H61" s="148"/>
    </row>
    <row r="62" ht="44" customHeight="1" spans="1:8">
      <c r="A62" s="146" t="s">
        <v>172</v>
      </c>
      <c r="B62" s="147"/>
      <c r="C62" s="86" t="s">
        <v>61</v>
      </c>
      <c r="D62" s="86"/>
      <c r="E62" s="86"/>
      <c r="F62" s="86"/>
      <c r="G62" s="86"/>
      <c r="H62" s="148"/>
    </row>
    <row r="63" ht="48" customHeight="1" spans="1:8">
      <c r="A63" s="146" t="s">
        <v>173</v>
      </c>
      <c r="B63" s="147"/>
      <c r="C63" s="92" t="s">
        <v>214</v>
      </c>
      <c r="D63" s="92"/>
      <c r="E63" s="92"/>
      <c r="F63" s="92"/>
      <c r="G63" s="92"/>
      <c r="H63" s="151"/>
    </row>
    <row r="64" ht="38" customHeight="1" spans="1:8">
      <c r="A64" s="152" t="s">
        <v>175</v>
      </c>
      <c r="B64" s="153"/>
      <c r="C64" s="154" t="s">
        <v>208</v>
      </c>
      <c r="D64" s="154"/>
      <c r="E64" s="155" t="s">
        <v>215</v>
      </c>
      <c r="F64" s="155"/>
      <c r="G64" s="155"/>
      <c r="H64" s="156"/>
    </row>
    <row r="65" ht="14" customHeight="1" spans="1:8">
      <c r="A65" s="3"/>
      <c r="B65" s="3"/>
      <c r="C65" s="3"/>
      <c r="D65" s="3"/>
      <c r="E65" s="3"/>
      <c r="F65" s="3"/>
      <c r="G65" s="3"/>
      <c r="H65" s="3"/>
    </row>
    <row r="66" ht="32" customHeight="1" spans="1:8">
      <c r="A66" s="141" t="s">
        <v>216</v>
      </c>
      <c r="B66" s="142"/>
      <c r="C66" s="142"/>
      <c r="D66" s="142"/>
      <c r="E66" s="142"/>
      <c r="F66" s="142"/>
      <c r="G66" s="142"/>
      <c r="H66" s="143"/>
    </row>
    <row r="67" spans="1:8">
      <c r="A67" s="144" t="s">
        <v>206</v>
      </c>
      <c r="B67" s="82"/>
      <c r="C67" s="82" t="s">
        <v>158</v>
      </c>
      <c r="D67" s="82"/>
      <c r="E67" s="82" t="s">
        <v>159</v>
      </c>
      <c r="F67" s="82"/>
      <c r="G67" s="82" t="s">
        <v>217</v>
      </c>
      <c r="H67" s="145"/>
    </row>
    <row r="68" ht="38" customHeight="1" spans="1:8">
      <c r="A68" s="146" t="s">
        <v>161</v>
      </c>
      <c r="B68" s="147"/>
      <c r="C68" s="86" t="s">
        <v>64</v>
      </c>
      <c r="D68" s="86"/>
      <c r="E68" s="86"/>
      <c r="F68" s="86"/>
      <c r="G68" s="86"/>
      <c r="H68" s="148"/>
    </row>
    <row r="69" ht="62" customHeight="1" spans="1:8">
      <c r="A69" s="146" t="s">
        <v>162</v>
      </c>
      <c r="B69" s="147"/>
      <c r="C69" s="86" t="s">
        <v>218</v>
      </c>
      <c r="D69" s="86"/>
      <c r="E69" s="86"/>
      <c r="F69" s="86"/>
      <c r="G69" s="86"/>
      <c r="H69" s="148"/>
    </row>
    <row r="70" ht="56" customHeight="1" spans="1:8">
      <c r="A70" s="146" t="s">
        <v>164</v>
      </c>
      <c r="B70" s="147"/>
      <c r="C70" s="88" t="s">
        <v>219</v>
      </c>
      <c r="D70" s="88"/>
      <c r="E70" s="88"/>
      <c r="F70" s="88"/>
      <c r="G70" s="88"/>
      <c r="H70" s="149"/>
    </row>
    <row r="71" ht="46" customHeight="1" spans="1:8">
      <c r="A71" s="146" t="s">
        <v>166</v>
      </c>
      <c r="B71" s="147"/>
      <c r="C71" s="86" t="s">
        <v>220</v>
      </c>
      <c r="D71" s="86"/>
      <c r="E71" s="86"/>
      <c r="F71" s="86"/>
      <c r="G71" s="86"/>
      <c r="H71" s="148"/>
    </row>
    <row r="72" ht="48" customHeight="1" spans="1:8">
      <c r="A72" s="146" t="s">
        <v>168</v>
      </c>
      <c r="B72" s="147"/>
      <c r="C72" s="90" t="s">
        <v>221</v>
      </c>
      <c r="D72" s="90"/>
      <c r="E72" s="90"/>
      <c r="F72" s="90"/>
      <c r="G72" s="90"/>
      <c r="H72" s="150"/>
    </row>
    <row r="73" ht="46" customHeight="1" spans="1:8">
      <c r="A73" s="146" t="s">
        <v>170</v>
      </c>
      <c r="B73" s="147"/>
      <c r="C73" s="86" t="s">
        <v>222</v>
      </c>
      <c r="D73" s="86"/>
      <c r="E73" s="86"/>
      <c r="F73" s="86"/>
      <c r="G73" s="86"/>
      <c r="H73" s="148"/>
    </row>
    <row r="74" ht="44" customHeight="1" spans="1:8">
      <c r="A74" s="146" t="s">
        <v>172</v>
      </c>
      <c r="B74" s="147"/>
      <c r="C74" s="86" t="s">
        <v>65</v>
      </c>
      <c r="D74" s="86"/>
      <c r="E74" s="86"/>
      <c r="F74" s="86"/>
      <c r="G74" s="86"/>
      <c r="H74" s="148"/>
    </row>
    <row r="75" ht="48" customHeight="1" spans="1:8">
      <c r="A75" s="146" t="s">
        <v>173</v>
      </c>
      <c r="B75" s="147"/>
      <c r="C75" s="92" t="s">
        <v>223</v>
      </c>
      <c r="D75" s="92"/>
      <c r="E75" s="92"/>
      <c r="F75" s="92"/>
      <c r="G75" s="92"/>
      <c r="H75" s="151"/>
    </row>
    <row r="76" ht="38" customHeight="1" spans="1:8">
      <c r="A76" s="152" t="s">
        <v>175</v>
      </c>
      <c r="B76" s="153"/>
      <c r="C76" s="154" t="s">
        <v>217</v>
      </c>
      <c r="D76" s="154"/>
      <c r="E76" s="155" t="s">
        <v>224</v>
      </c>
      <c r="F76" s="155"/>
      <c r="G76" s="155"/>
      <c r="H76" s="156"/>
    </row>
    <row r="77" ht="14" customHeight="1" spans="1:8">
      <c r="A77" s="3"/>
      <c r="B77" s="3"/>
      <c r="C77" s="3"/>
      <c r="D77" s="3"/>
      <c r="E77" s="3"/>
      <c r="F77" s="3"/>
      <c r="G77" s="3"/>
      <c r="H77" s="3"/>
    </row>
    <row r="78" ht="32" customHeight="1" spans="1:8">
      <c r="A78" s="141" t="s">
        <v>225</v>
      </c>
      <c r="B78" s="142"/>
      <c r="C78" s="142"/>
      <c r="D78" s="142"/>
      <c r="E78" s="142"/>
      <c r="F78" s="142"/>
      <c r="G78" s="142"/>
      <c r="H78" s="143"/>
    </row>
    <row r="79" spans="1:8">
      <c r="A79" s="144" t="s">
        <v>206</v>
      </c>
      <c r="B79" s="82"/>
      <c r="C79" s="82" t="s">
        <v>178</v>
      </c>
      <c r="D79" s="82"/>
      <c r="E79" s="82" t="s">
        <v>159</v>
      </c>
      <c r="F79" s="82"/>
      <c r="G79" s="82" t="s">
        <v>226</v>
      </c>
      <c r="H79" s="145"/>
    </row>
    <row r="80" ht="38" customHeight="1" spans="1:8">
      <c r="A80" s="146" t="s">
        <v>161</v>
      </c>
      <c r="B80" s="147"/>
      <c r="C80" s="86" t="s">
        <v>67</v>
      </c>
      <c r="D80" s="86"/>
      <c r="E80" s="86"/>
      <c r="F80" s="86"/>
      <c r="G80" s="86"/>
      <c r="H80" s="148"/>
    </row>
    <row r="81" ht="62" customHeight="1" spans="1:8">
      <c r="A81" s="146" t="s">
        <v>162</v>
      </c>
      <c r="B81" s="147"/>
      <c r="C81" s="86" t="s">
        <v>227</v>
      </c>
      <c r="D81" s="86"/>
      <c r="E81" s="86"/>
      <c r="F81" s="86"/>
      <c r="G81" s="86"/>
      <c r="H81" s="148"/>
    </row>
    <row r="82" ht="56" customHeight="1" spans="1:8">
      <c r="A82" s="146" t="s">
        <v>164</v>
      </c>
      <c r="B82" s="147"/>
      <c r="C82" s="88" t="s">
        <v>228</v>
      </c>
      <c r="D82" s="88"/>
      <c r="E82" s="88"/>
      <c r="F82" s="88"/>
      <c r="G82" s="88"/>
      <c r="H82" s="149"/>
    </row>
    <row r="83" ht="46" customHeight="1" spans="1:8">
      <c r="A83" s="146" t="s">
        <v>166</v>
      </c>
      <c r="B83" s="147"/>
      <c r="C83" s="86" t="s">
        <v>229</v>
      </c>
      <c r="D83" s="86"/>
      <c r="E83" s="86"/>
      <c r="F83" s="86"/>
      <c r="G83" s="86"/>
      <c r="H83" s="148"/>
    </row>
    <row r="84" ht="48" customHeight="1" spans="1:8">
      <c r="A84" s="146" t="s">
        <v>168</v>
      </c>
      <c r="B84" s="147"/>
      <c r="C84" s="90" t="s">
        <v>230</v>
      </c>
      <c r="D84" s="90"/>
      <c r="E84" s="90"/>
      <c r="F84" s="90"/>
      <c r="G84" s="90"/>
      <c r="H84" s="150"/>
    </row>
    <row r="85" ht="46" customHeight="1" spans="1:8">
      <c r="A85" s="146" t="s">
        <v>170</v>
      </c>
      <c r="B85" s="147"/>
      <c r="C85" s="86" t="s">
        <v>231</v>
      </c>
      <c r="D85" s="86"/>
      <c r="E85" s="86"/>
      <c r="F85" s="86"/>
      <c r="G85" s="86"/>
      <c r="H85" s="148"/>
    </row>
    <row r="86" ht="44" customHeight="1" spans="1:8">
      <c r="A86" s="146" t="s">
        <v>172</v>
      </c>
      <c r="B86" s="147"/>
      <c r="C86" s="86" t="s">
        <v>68</v>
      </c>
      <c r="D86" s="86"/>
      <c r="E86" s="86"/>
      <c r="F86" s="86"/>
      <c r="G86" s="86"/>
      <c r="H86" s="148"/>
    </row>
    <row r="87" ht="48" customHeight="1" spans="1:8">
      <c r="A87" s="146" t="s">
        <v>173</v>
      </c>
      <c r="B87" s="147"/>
      <c r="C87" s="92" t="s">
        <v>232</v>
      </c>
      <c r="D87" s="92"/>
      <c r="E87" s="92"/>
      <c r="F87" s="92"/>
      <c r="G87" s="92"/>
      <c r="H87" s="151"/>
    </row>
    <row r="88" ht="38" customHeight="1" spans="1:8">
      <c r="A88" s="152" t="s">
        <v>175</v>
      </c>
      <c r="B88" s="153"/>
      <c r="C88" s="154" t="s">
        <v>226</v>
      </c>
      <c r="D88" s="154"/>
      <c r="E88" s="155" t="s">
        <v>233</v>
      </c>
      <c r="F88" s="155"/>
      <c r="G88" s="155"/>
      <c r="H88" s="156"/>
    </row>
    <row r="89" ht="14" customHeight="1" spans="1:8">
      <c r="A89" s="3"/>
      <c r="B89" s="3"/>
      <c r="C89" s="3"/>
      <c r="D89" s="3"/>
      <c r="E89" s="3"/>
      <c r="F89" s="3"/>
      <c r="G89" s="3"/>
      <c r="H89" s="3"/>
    </row>
    <row r="90" ht="32" customHeight="1" spans="1:8">
      <c r="A90" s="141" t="s">
        <v>234</v>
      </c>
      <c r="B90" s="142"/>
      <c r="C90" s="142"/>
      <c r="D90" s="142"/>
      <c r="E90" s="142"/>
      <c r="F90" s="142"/>
      <c r="G90" s="142"/>
      <c r="H90" s="143"/>
    </row>
    <row r="91" spans="1:8">
      <c r="A91" s="144" t="s">
        <v>206</v>
      </c>
      <c r="B91" s="82"/>
      <c r="C91" s="82" t="s">
        <v>235</v>
      </c>
      <c r="D91" s="82"/>
      <c r="E91" s="82" t="s">
        <v>159</v>
      </c>
      <c r="F91" s="82"/>
      <c r="G91" s="82" t="s">
        <v>236</v>
      </c>
      <c r="H91" s="145"/>
    </row>
    <row r="92" ht="38" customHeight="1" spans="1:8">
      <c r="A92" s="146" t="s">
        <v>161</v>
      </c>
      <c r="B92" s="147"/>
      <c r="C92" s="86" t="s">
        <v>70</v>
      </c>
      <c r="D92" s="86"/>
      <c r="E92" s="86"/>
      <c r="F92" s="86"/>
      <c r="G92" s="86"/>
      <c r="H92" s="148"/>
    </row>
    <row r="93" ht="62" customHeight="1" spans="1:8">
      <c r="A93" s="146" t="s">
        <v>162</v>
      </c>
      <c r="B93" s="147"/>
      <c r="C93" s="86" t="s">
        <v>237</v>
      </c>
      <c r="D93" s="86"/>
      <c r="E93" s="86"/>
      <c r="F93" s="86"/>
      <c r="G93" s="86"/>
      <c r="H93" s="148"/>
    </row>
    <row r="94" ht="56" customHeight="1" spans="1:8">
      <c r="A94" s="146" t="s">
        <v>164</v>
      </c>
      <c r="B94" s="147"/>
      <c r="C94" s="88" t="s">
        <v>238</v>
      </c>
      <c r="D94" s="88"/>
      <c r="E94" s="88"/>
      <c r="F94" s="88"/>
      <c r="G94" s="88"/>
      <c r="H94" s="149"/>
    </row>
    <row r="95" ht="46" customHeight="1" spans="1:8">
      <c r="A95" s="146" t="s">
        <v>166</v>
      </c>
      <c r="B95" s="147"/>
      <c r="C95" s="86" t="s">
        <v>239</v>
      </c>
      <c r="D95" s="86"/>
      <c r="E95" s="86"/>
      <c r="F95" s="86"/>
      <c r="G95" s="86"/>
      <c r="H95" s="148"/>
    </row>
    <row r="96" ht="48" customHeight="1" spans="1:8">
      <c r="A96" s="146" t="s">
        <v>168</v>
      </c>
      <c r="B96" s="147"/>
      <c r="C96" s="90" t="s">
        <v>240</v>
      </c>
      <c r="D96" s="90"/>
      <c r="E96" s="90"/>
      <c r="F96" s="90"/>
      <c r="G96" s="90"/>
      <c r="H96" s="150"/>
    </row>
    <row r="97" ht="46" customHeight="1" spans="1:8">
      <c r="A97" s="146" t="s">
        <v>170</v>
      </c>
      <c r="B97" s="147"/>
      <c r="C97" s="86" t="s">
        <v>241</v>
      </c>
      <c r="D97" s="86"/>
      <c r="E97" s="86"/>
      <c r="F97" s="86"/>
      <c r="G97" s="86"/>
      <c r="H97" s="148"/>
    </row>
    <row r="98" ht="44" customHeight="1" spans="1:8">
      <c r="A98" s="146" t="s">
        <v>172</v>
      </c>
      <c r="B98" s="147"/>
      <c r="C98" s="86" t="s">
        <v>71</v>
      </c>
      <c r="D98" s="86"/>
      <c r="E98" s="86"/>
      <c r="F98" s="86"/>
      <c r="G98" s="86"/>
      <c r="H98" s="148"/>
    </row>
    <row r="99" ht="48" customHeight="1" spans="1:8">
      <c r="A99" s="146" t="s">
        <v>173</v>
      </c>
      <c r="B99" s="147"/>
      <c r="C99" s="92" t="s">
        <v>242</v>
      </c>
      <c r="D99" s="92"/>
      <c r="E99" s="92"/>
      <c r="F99" s="92"/>
      <c r="G99" s="92"/>
      <c r="H99" s="151"/>
    </row>
    <row r="100" ht="38" customHeight="1" spans="1:8">
      <c r="A100" s="152" t="s">
        <v>175</v>
      </c>
      <c r="B100" s="153"/>
      <c r="C100" s="154" t="s">
        <v>236</v>
      </c>
      <c r="D100" s="154"/>
      <c r="E100" s="155" t="s">
        <v>243</v>
      </c>
      <c r="F100" s="155"/>
      <c r="G100" s="155"/>
      <c r="H100" s="156"/>
    </row>
    <row r="101" ht="14" customHeight="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</sheetData>
  <mergeCells count="195">
    <mergeCell ref="A1:H1"/>
    <mergeCell ref="A2:H2"/>
    <mergeCell ref="A4:H4"/>
    <mergeCell ref="A6:H6"/>
    <mergeCell ref="A7:B7"/>
    <mergeCell ref="C7:D7"/>
    <mergeCell ref="E7:F7"/>
    <mergeCell ref="G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D16"/>
    <mergeCell ref="E16:H16"/>
    <mergeCell ref="A18:H18"/>
    <mergeCell ref="A19:B19"/>
    <mergeCell ref="C19:D19"/>
    <mergeCell ref="E19:F19"/>
    <mergeCell ref="G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D28"/>
    <mergeCell ref="E28:H28"/>
    <mergeCell ref="A30:H30"/>
    <mergeCell ref="A31:B31"/>
    <mergeCell ref="C31:D31"/>
    <mergeCell ref="E31:F31"/>
    <mergeCell ref="G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D40"/>
    <mergeCell ref="E40:H40"/>
    <mergeCell ref="A42:H42"/>
    <mergeCell ref="A43:B43"/>
    <mergeCell ref="C43:D43"/>
    <mergeCell ref="E43:F43"/>
    <mergeCell ref="G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D52"/>
    <mergeCell ref="E52:H52"/>
    <mergeCell ref="A54:H54"/>
    <mergeCell ref="A55:B55"/>
    <mergeCell ref="C55:D55"/>
    <mergeCell ref="E55:F55"/>
    <mergeCell ref="G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A64:B64"/>
    <mergeCell ref="C64:D64"/>
    <mergeCell ref="E64:H64"/>
    <mergeCell ref="A66:H66"/>
    <mergeCell ref="A67:B67"/>
    <mergeCell ref="C67:D67"/>
    <mergeCell ref="E67:F67"/>
    <mergeCell ref="G67:H67"/>
    <mergeCell ref="A68:B68"/>
    <mergeCell ref="C68:H68"/>
    <mergeCell ref="A69:B69"/>
    <mergeCell ref="C69:H69"/>
    <mergeCell ref="A70:B70"/>
    <mergeCell ref="C70:H70"/>
    <mergeCell ref="A71:B71"/>
    <mergeCell ref="C71:H71"/>
    <mergeCell ref="A72:B72"/>
    <mergeCell ref="C72:H72"/>
    <mergeCell ref="A73:B73"/>
    <mergeCell ref="C73:H73"/>
    <mergeCell ref="A74:B74"/>
    <mergeCell ref="C74:H74"/>
    <mergeCell ref="A75:B75"/>
    <mergeCell ref="C75:H75"/>
    <mergeCell ref="A76:B76"/>
    <mergeCell ref="C76:D76"/>
    <mergeCell ref="E76:H76"/>
    <mergeCell ref="A78:H78"/>
    <mergeCell ref="A79:B79"/>
    <mergeCell ref="C79:D79"/>
    <mergeCell ref="E79:F79"/>
    <mergeCell ref="G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B86"/>
    <mergeCell ref="C86:H86"/>
    <mergeCell ref="A87:B87"/>
    <mergeCell ref="C87:H87"/>
    <mergeCell ref="A88:B88"/>
    <mergeCell ref="C88:D88"/>
    <mergeCell ref="E88:H88"/>
    <mergeCell ref="A90:H90"/>
    <mergeCell ref="A91:B91"/>
    <mergeCell ref="C91:D91"/>
    <mergeCell ref="E91:F91"/>
    <mergeCell ref="G91:H91"/>
    <mergeCell ref="A92:B92"/>
    <mergeCell ref="C92:H92"/>
    <mergeCell ref="A93:B93"/>
    <mergeCell ref="C93:H93"/>
    <mergeCell ref="A94:B94"/>
    <mergeCell ref="C94:H94"/>
    <mergeCell ref="A95:B95"/>
    <mergeCell ref="C95:H95"/>
    <mergeCell ref="A96:B96"/>
    <mergeCell ref="C96:H96"/>
    <mergeCell ref="A97:B97"/>
    <mergeCell ref="C97:H97"/>
    <mergeCell ref="A98:B98"/>
    <mergeCell ref="C98:H98"/>
    <mergeCell ref="A99:B99"/>
    <mergeCell ref="C99:H99"/>
    <mergeCell ref="A100:B100"/>
    <mergeCell ref="C100:D100"/>
    <mergeCell ref="E100:H10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showGridLines="0" workbookViewId="0">
      <selection activeCell="A1" sqref="A1:H1"/>
    </sheetView>
  </sheetViews>
  <sheetFormatPr defaultColWidth="9" defaultRowHeight="16.8" outlineLevelCol="7"/>
  <cols>
    <col min="1" max="2" width="14" customWidth="1"/>
    <col min="3" max="8" width="18" customWidth="1"/>
  </cols>
  <sheetData>
    <row r="1" ht="40" customHeight="1" spans="1:8">
      <c r="A1" s="1" t="s">
        <v>244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245</v>
      </c>
      <c r="B2" s="2"/>
      <c r="C2" s="2"/>
      <c r="D2" s="2"/>
      <c r="E2" s="2"/>
      <c r="F2" s="2"/>
      <c r="G2" s="2"/>
      <c r="H2" s="2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118" t="s">
        <v>155</v>
      </c>
      <c r="B4" s="119"/>
      <c r="C4" s="119"/>
      <c r="D4" s="119"/>
      <c r="E4" s="119"/>
      <c r="F4" s="119"/>
      <c r="G4" s="119"/>
      <c r="H4" s="120"/>
    </row>
    <row r="5" spans="1:8">
      <c r="A5" s="3"/>
      <c r="B5" s="3"/>
      <c r="C5" s="3"/>
      <c r="D5" s="3"/>
      <c r="E5" s="3"/>
      <c r="F5" s="3"/>
      <c r="G5" s="3"/>
      <c r="H5" s="3"/>
    </row>
    <row r="6" ht="32" customHeight="1" spans="1:8">
      <c r="A6" s="121" t="s">
        <v>246</v>
      </c>
      <c r="B6" s="122"/>
      <c r="C6" s="122"/>
      <c r="D6" s="122"/>
      <c r="E6" s="122"/>
      <c r="F6" s="122"/>
      <c r="G6" s="122"/>
      <c r="H6" s="123"/>
    </row>
    <row r="7" spans="1:8">
      <c r="A7" s="124" t="s">
        <v>247</v>
      </c>
      <c r="B7" s="82"/>
      <c r="C7" s="82" t="s">
        <v>158</v>
      </c>
      <c r="D7" s="82"/>
      <c r="E7" s="82" t="s">
        <v>159</v>
      </c>
      <c r="F7" s="82"/>
      <c r="G7" s="82" t="s">
        <v>248</v>
      </c>
      <c r="H7" s="125"/>
    </row>
    <row r="8" ht="38" customHeight="1" spans="1:8">
      <c r="A8" s="126" t="s">
        <v>161</v>
      </c>
      <c r="B8" s="127"/>
      <c r="C8" s="86" t="s">
        <v>75</v>
      </c>
      <c r="D8" s="86"/>
      <c r="E8" s="86"/>
      <c r="F8" s="86"/>
      <c r="G8" s="86"/>
      <c r="H8" s="128"/>
    </row>
    <row r="9" ht="62" customHeight="1" spans="1:8">
      <c r="A9" s="126" t="s">
        <v>162</v>
      </c>
      <c r="B9" s="127"/>
      <c r="C9" s="86" t="s">
        <v>249</v>
      </c>
      <c r="D9" s="86"/>
      <c r="E9" s="86"/>
      <c r="F9" s="86"/>
      <c r="G9" s="86"/>
      <c r="H9" s="128"/>
    </row>
    <row r="10" ht="56" customHeight="1" spans="1:8">
      <c r="A10" s="126" t="s">
        <v>164</v>
      </c>
      <c r="B10" s="127"/>
      <c r="C10" s="88" t="s">
        <v>250</v>
      </c>
      <c r="D10" s="88"/>
      <c r="E10" s="88"/>
      <c r="F10" s="88"/>
      <c r="G10" s="88"/>
      <c r="H10" s="129"/>
    </row>
    <row r="11" ht="46" customHeight="1" spans="1:8">
      <c r="A11" s="126" t="s">
        <v>166</v>
      </c>
      <c r="B11" s="127"/>
      <c r="C11" s="86" t="s">
        <v>251</v>
      </c>
      <c r="D11" s="86"/>
      <c r="E11" s="86"/>
      <c r="F11" s="86"/>
      <c r="G11" s="86"/>
      <c r="H11" s="128"/>
    </row>
    <row r="12" ht="48" customHeight="1" spans="1:8">
      <c r="A12" s="126" t="s">
        <v>168</v>
      </c>
      <c r="B12" s="127"/>
      <c r="C12" s="90" t="s">
        <v>252</v>
      </c>
      <c r="D12" s="90"/>
      <c r="E12" s="90"/>
      <c r="F12" s="90"/>
      <c r="G12" s="90"/>
      <c r="H12" s="130"/>
    </row>
    <row r="13" ht="46" customHeight="1" spans="1:8">
      <c r="A13" s="126" t="s">
        <v>170</v>
      </c>
      <c r="B13" s="127"/>
      <c r="C13" s="86" t="s">
        <v>253</v>
      </c>
      <c r="D13" s="86"/>
      <c r="E13" s="86"/>
      <c r="F13" s="86"/>
      <c r="G13" s="86"/>
      <c r="H13" s="128"/>
    </row>
    <row r="14" ht="44" customHeight="1" spans="1:8">
      <c r="A14" s="126" t="s">
        <v>172</v>
      </c>
      <c r="B14" s="127"/>
      <c r="C14" s="86" t="s">
        <v>76</v>
      </c>
      <c r="D14" s="86"/>
      <c r="E14" s="86"/>
      <c r="F14" s="86"/>
      <c r="G14" s="86"/>
      <c r="H14" s="128"/>
    </row>
    <row r="15" ht="48" customHeight="1" spans="1:8">
      <c r="A15" s="126" t="s">
        <v>173</v>
      </c>
      <c r="B15" s="127"/>
      <c r="C15" s="92" t="s">
        <v>254</v>
      </c>
      <c r="D15" s="92"/>
      <c r="E15" s="92"/>
      <c r="F15" s="92"/>
      <c r="G15" s="92"/>
      <c r="H15" s="131"/>
    </row>
    <row r="16" ht="38" customHeight="1" spans="1:8">
      <c r="A16" s="132" t="s">
        <v>175</v>
      </c>
      <c r="B16" s="133"/>
      <c r="C16" s="134" t="s">
        <v>248</v>
      </c>
      <c r="D16" s="134"/>
      <c r="E16" s="135" t="s">
        <v>255</v>
      </c>
      <c r="F16" s="135"/>
      <c r="G16" s="135"/>
      <c r="H16" s="136"/>
    </row>
    <row r="17" ht="14" customHeight="1" spans="1:8">
      <c r="A17" s="3"/>
      <c r="B17" s="3"/>
      <c r="C17" s="3"/>
      <c r="D17" s="3"/>
      <c r="E17" s="3"/>
      <c r="F17" s="3"/>
      <c r="G17" s="3"/>
      <c r="H17" s="3"/>
    </row>
    <row r="18" ht="32" customHeight="1" spans="1:8">
      <c r="A18" s="121" t="s">
        <v>256</v>
      </c>
      <c r="B18" s="122"/>
      <c r="C18" s="122"/>
      <c r="D18" s="122"/>
      <c r="E18" s="122"/>
      <c r="F18" s="122"/>
      <c r="G18" s="122"/>
      <c r="H18" s="123"/>
    </row>
    <row r="19" spans="1:8">
      <c r="A19" s="124" t="s">
        <v>247</v>
      </c>
      <c r="B19" s="82"/>
      <c r="C19" s="82" t="s">
        <v>158</v>
      </c>
      <c r="D19" s="82"/>
      <c r="E19" s="82" t="s">
        <v>159</v>
      </c>
      <c r="F19" s="82"/>
      <c r="G19" s="82" t="s">
        <v>257</v>
      </c>
      <c r="H19" s="125"/>
    </row>
    <row r="20" ht="38" customHeight="1" spans="1:8">
      <c r="A20" s="126" t="s">
        <v>161</v>
      </c>
      <c r="B20" s="127"/>
      <c r="C20" s="86" t="s">
        <v>78</v>
      </c>
      <c r="D20" s="86"/>
      <c r="E20" s="86"/>
      <c r="F20" s="86"/>
      <c r="G20" s="86"/>
      <c r="H20" s="128"/>
    </row>
    <row r="21" ht="62" customHeight="1" spans="1:8">
      <c r="A21" s="126" t="s">
        <v>162</v>
      </c>
      <c r="B21" s="127"/>
      <c r="C21" s="86" t="s">
        <v>258</v>
      </c>
      <c r="D21" s="86"/>
      <c r="E21" s="86"/>
      <c r="F21" s="86"/>
      <c r="G21" s="86"/>
      <c r="H21" s="128"/>
    </row>
    <row r="22" ht="56" customHeight="1" spans="1:8">
      <c r="A22" s="126" t="s">
        <v>164</v>
      </c>
      <c r="B22" s="127"/>
      <c r="C22" s="88" t="s">
        <v>259</v>
      </c>
      <c r="D22" s="88"/>
      <c r="E22" s="88"/>
      <c r="F22" s="88"/>
      <c r="G22" s="88"/>
      <c r="H22" s="129"/>
    </row>
    <row r="23" ht="46" customHeight="1" spans="1:8">
      <c r="A23" s="126" t="s">
        <v>166</v>
      </c>
      <c r="B23" s="127"/>
      <c r="C23" s="86" t="s">
        <v>260</v>
      </c>
      <c r="D23" s="86"/>
      <c r="E23" s="86"/>
      <c r="F23" s="86"/>
      <c r="G23" s="86"/>
      <c r="H23" s="128"/>
    </row>
    <row r="24" ht="48" customHeight="1" spans="1:8">
      <c r="A24" s="126" t="s">
        <v>168</v>
      </c>
      <c r="B24" s="127"/>
      <c r="C24" s="90" t="s">
        <v>261</v>
      </c>
      <c r="D24" s="90"/>
      <c r="E24" s="90"/>
      <c r="F24" s="90"/>
      <c r="G24" s="90"/>
      <c r="H24" s="130"/>
    </row>
    <row r="25" ht="46" customHeight="1" spans="1:8">
      <c r="A25" s="126" t="s">
        <v>170</v>
      </c>
      <c r="B25" s="127"/>
      <c r="C25" s="86" t="s">
        <v>262</v>
      </c>
      <c r="D25" s="86"/>
      <c r="E25" s="86"/>
      <c r="F25" s="86"/>
      <c r="G25" s="86"/>
      <c r="H25" s="128"/>
    </row>
    <row r="26" ht="44" customHeight="1" spans="1:8">
      <c r="A26" s="126" t="s">
        <v>172</v>
      </c>
      <c r="B26" s="127"/>
      <c r="C26" s="86" t="s">
        <v>79</v>
      </c>
      <c r="D26" s="86"/>
      <c r="E26" s="86"/>
      <c r="F26" s="86"/>
      <c r="G26" s="86"/>
      <c r="H26" s="128"/>
    </row>
    <row r="27" ht="48" customHeight="1" spans="1:8">
      <c r="A27" s="126" t="s">
        <v>173</v>
      </c>
      <c r="B27" s="127"/>
      <c r="C27" s="92" t="s">
        <v>263</v>
      </c>
      <c r="D27" s="92"/>
      <c r="E27" s="92"/>
      <c r="F27" s="92"/>
      <c r="G27" s="92"/>
      <c r="H27" s="131"/>
    </row>
    <row r="28" ht="38" customHeight="1" spans="1:8">
      <c r="A28" s="132" t="s">
        <v>175</v>
      </c>
      <c r="B28" s="133"/>
      <c r="C28" s="134" t="s">
        <v>257</v>
      </c>
      <c r="D28" s="134"/>
      <c r="E28" s="135" t="s">
        <v>264</v>
      </c>
      <c r="F28" s="135"/>
      <c r="G28" s="135"/>
      <c r="H28" s="136"/>
    </row>
    <row r="29" ht="14" customHeight="1" spans="1:8">
      <c r="A29" s="3"/>
      <c r="B29" s="3"/>
      <c r="C29" s="3"/>
      <c r="D29" s="3"/>
      <c r="E29" s="3"/>
      <c r="F29" s="3"/>
      <c r="G29" s="3"/>
      <c r="H29" s="3"/>
    </row>
    <row r="30" ht="32" customHeight="1" spans="1:8">
      <c r="A30" s="121" t="s">
        <v>265</v>
      </c>
      <c r="B30" s="122"/>
      <c r="C30" s="122"/>
      <c r="D30" s="122"/>
      <c r="E30" s="122"/>
      <c r="F30" s="122"/>
      <c r="G30" s="122"/>
      <c r="H30" s="123"/>
    </row>
    <row r="31" spans="1:8">
      <c r="A31" s="124" t="s">
        <v>247</v>
      </c>
      <c r="B31" s="82"/>
      <c r="C31" s="82" t="s">
        <v>158</v>
      </c>
      <c r="D31" s="82"/>
      <c r="E31" s="82" t="s">
        <v>159</v>
      </c>
      <c r="F31" s="82"/>
      <c r="G31" s="82" t="s">
        <v>266</v>
      </c>
      <c r="H31" s="125"/>
    </row>
    <row r="32" ht="38" customHeight="1" spans="1:8">
      <c r="A32" s="126" t="s">
        <v>161</v>
      </c>
      <c r="B32" s="127"/>
      <c r="C32" s="86" t="s">
        <v>81</v>
      </c>
      <c r="D32" s="86"/>
      <c r="E32" s="86"/>
      <c r="F32" s="86"/>
      <c r="G32" s="86"/>
      <c r="H32" s="128"/>
    </row>
    <row r="33" ht="62" customHeight="1" spans="1:8">
      <c r="A33" s="126" t="s">
        <v>162</v>
      </c>
      <c r="B33" s="127"/>
      <c r="C33" s="86" t="s">
        <v>267</v>
      </c>
      <c r="D33" s="86"/>
      <c r="E33" s="86"/>
      <c r="F33" s="86"/>
      <c r="G33" s="86"/>
      <c r="H33" s="128"/>
    </row>
    <row r="34" ht="56" customHeight="1" spans="1:8">
      <c r="A34" s="126" t="s">
        <v>164</v>
      </c>
      <c r="B34" s="127"/>
      <c r="C34" s="88" t="s">
        <v>268</v>
      </c>
      <c r="D34" s="88"/>
      <c r="E34" s="88"/>
      <c r="F34" s="88"/>
      <c r="G34" s="88"/>
      <c r="H34" s="129"/>
    </row>
    <row r="35" ht="46" customHeight="1" spans="1:8">
      <c r="A35" s="126" t="s">
        <v>166</v>
      </c>
      <c r="B35" s="127"/>
      <c r="C35" s="86" t="s">
        <v>269</v>
      </c>
      <c r="D35" s="86"/>
      <c r="E35" s="86"/>
      <c r="F35" s="86"/>
      <c r="G35" s="86"/>
      <c r="H35" s="128"/>
    </row>
    <row r="36" ht="48" customHeight="1" spans="1:8">
      <c r="A36" s="126" t="s">
        <v>168</v>
      </c>
      <c r="B36" s="127"/>
      <c r="C36" s="90" t="s">
        <v>270</v>
      </c>
      <c r="D36" s="90"/>
      <c r="E36" s="90"/>
      <c r="F36" s="90"/>
      <c r="G36" s="90"/>
      <c r="H36" s="130"/>
    </row>
    <row r="37" ht="46" customHeight="1" spans="1:8">
      <c r="A37" s="126" t="s">
        <v>170</v>
      </c>
      <c r="B37" s="127"/>
      <c r="C37" s="86" t="s">
        <v>271</v>
      </c>
      <c r="D37" s="86"/>
      <c r="E37" s="86"/>
      <c r="F37" s="86"/>
      <c r="G37" s="86"/>
      <c r="H37" s="128"/>
    </row>
    <row r="38" ht="44" customHeight="1" spans="1:8">
      <c r="A38" s="126" t="s">
        <v>172</v>
      </c>
      <c r="B38" s="127"/>
      <c r="C38" s="86" t="s">
        <v>82</v>
      </c>
      <c r="D38" s="86"/>
      <c r="E38" s="86"/>
      <c r="F38" s="86"/>
      <c r="G38" s="86"/>
      <c r="H38" s="128"/>
    </row>
    <row r="39" ht="48" customHeight="1" spans="1:8">
      <c r="A39" s="126" t="s">
        <v>173</v>
      </c>
      <c r="B39" s="127"/>
      <c r="C39" s="92" t="s">
        <v>272</v>
      </c>
      <c r="D39" s="92"/>
      <c r="E39" s="92"/>
      <c r="F39" s="92"/>
      <c r="G39" s="92"/>
      <c r="H39" s="131"/>
    </row>
    <row r="40" ht="38" customHeight="1" spans="1:8">
      <c r="A40" s="132" t="s">
        <v>175</v>
      </c>
      <c r="B40" s="133"/>
      <c r="C40" s="134" t="s">
        <v>266</v>
      </c>
      <c r="D40" s="134"/>
      <c r="E40" s="135" t="s">
        <v>273</v>
      </c>
      <c r="F40" s="135"/>
      <c r="G40" s="135"/>
      <c r="H40" s="136"/>
    </row>
    <row r="41" ht="14" customHeight="1" spans="1:8">
      <c r="A41" s="3"/>
      <c r="B41" s="3"/>
      <c r="C41" s="3"/>
      <c r="D41" s="3"/>
      <c r="E41" s="3"/>
      <c r="F41" s="3"/>
      <c r="G41" s="3"/>
      <c r="H41" s="3"/>
    </row>
    <row r="42" ht="32" customHeight="1" spans="1:8">
      <c r="A42" s="121" t="s">
        <v>274</v>
      </c>
      <c r="B42" s="122"/>
      <c r="C42" s="122"/>
      <c r="D42" s="122"/>
      <c r="E42" s="122"/>
      <c r="F42" s="122"/>
      <c r="G42" s="122"/>
      <c r="H42" s="123"/>
    </row>
    <row r="43" spans="1:8">
      <c r="A43" s="124" t="s">
        <v>247</v>
      </c>
      <c r="B43" s="82"/>
      <c r="C43" s="82" t="s">
        <v>178</v>
      </c>
      <c r="D43" s="82"/>
      <c r="E43" s="82" t="s">
        <v>159</v>
      </c>
      <c r="F43" s="82"/>
      <c r="G43" s="82" t="s">
        <v>275</v>
      </c>
      <c r="H43" s="125"/>
    </row>
    <row r="44" ht="38" customHeight="1" spans="1:8">
      <c r="A44" s="126" t="s">
        <v>161</v>
      </c>
      <c r="B44" s="127"/>
      <c r="C44" s="86" t="s">
        <v>84</v>
      </c>
      <c r="D44" s="86"/>
      <c r="E44" s="86"/>
      <c r="F44" s="86"/>
      <c r="G44" s="86"/>
      <c r="H44" s="128"/>
    </row>
    <row r="45" ht="62" customHeight="1" spans="1:8">
      <c r="A45" s="126" t="s">
        <v>162</v>
      </c>
      <c r="B45" s="127"/>
      <c r="C45" s="86" t="s">
        <v>276</v>
      </c>
      <c r="D45" s="86"/>
      <c r="E45" s="86"/>
      <c r="F45" s="86"/>
      <c r="G45" s="86"/>
      <c r="H45" s="128"/>
    </row>
    <row r="46" ht="56" customHeight="1" spans="1:8">
      <c r="A46" s="126" t="s">
        <v>164</v>
      </c>
      <c r="B46" s="127"/>
      <c r="C46" s="88" t="s">
        <v>277</v>
      </c>
      <c r="D46" s="88"/>
      <c r="E46" s="88"/>
      <c r="F46" s="88"/>
      <c r="G46" s="88"/>
      <c r="H46" s="129"/>
    </row>
    <row r="47" ht="46" customHeight="1" spans="1:8">
      <c r="A47" s="126" t="s">
        <v>166</v>
      </c>
      <c r="B47" s="127"/>
      <c r="C47" s="86" t="s">
        <v>278</v>
      </c>
      <c r="D47" s="86"/>
      <c r="E47" s="86"/>
      <c r="F47" s="86"/>
      <c r="G47" s="86"/>
      <c r="H47" s="128"/>
    </row>
    <row r="48" ht="48" customHeight="1" spans="1:8">
      <c r="A48" s="126" t="s">
        <v>168</v>
      </c>
      <c r="B48" s="127"/>
      <c r="C48" s="90" t="s">
        <v>279</v>
      </c>
      <c r="D48" s="90"/>
      <c r="E48" s="90"/>
      <c r="F48" s="90"/>
      <c r="G48" s="90"/>
      <c r="H48" s="130"/>
    </row>
    <row r="49" ht="46" customHeight="1" spans="1:8">
      <c r="A49" s="126" t="s">
        <v>170</v>
      </c>
      <c r="B49" s="127"/>
      <c r="C49" s="86" t="s">
        <v>280</v>
      </c>
      <c r="D49" s="86"/>
      <c r="E49" s="86"/>
      <c r="F49" s="86"/>
      <c r="G49" s="86"/>
      <c r="H49" s="128"/>
    </row>
    <row r="50" ht="44" customHeight="1" spans="1:8">
      <c r="A50" s="126" t="s">
        <v>172</v>
      </c>
      <c r="B50" s="127"/>
      <c r="C50" s="86" t="s">
        <v>85</v>
      </c>
      <c r="D50" s="86"/>
      <c r="E50" s="86"/>
      <c r="F50" s="86"/>
      <c r="G50" s="86"/>
      <c r="H50" s="128"/>
    </row>
    <row r="51" ht="48" customHeight="1" spans="1:8">
      <c r="A51" s="126" t="s">
        <v>173</v>
      </c>
      <c r="B51" s="127"/>
      <c r="C51" s="92" t="s">
        <v>281</v>
      </c>
      <c r="D51" s="92"/>
      <c r="E51" s="92"/>
      <c r="F51" s="92"/>
      <c r="G51" s="92"/>
      <c r="H51" s="131"/>
    </row>
    <row r="52" ht="38" customHeight="1" spans="1:8">
      <c r="A52" s="132" t="s">
        <v>175</v>
      </c>
      <c r="B52" s="133"/>
      <c r="C52" s="134" t="s">
        <v>275</v>
      </c>
      <c r="D52" s="134"/>
      <c r="E52" s="135" t="s">
        <v>282</v>
      </c>
      <c r="F52" s="135"/>
      <c r="G52" s="135"/>
      <c r="H52" s="136"/>
    </row>
    <row r="53" ht="14" customHeight="1" spans="1:8">
      <c r="A53" s="3"/>
      <c r="B53" s="3"/>
      <c r="C53" s="3"/>
      <c r="D53" s="3"/>
      <c r="E53" s="3"/>
      <c r="F53" s="3"/>
      <c r="G53" s="3"/>
      <c r="H53" s="3"/>
    </row>
    <row r="54" ht="32" customHeight="1" spans="1:8">
      <c r="A54" s="121" t="s">
        <v>283</v>
      </c>
      <c r="B54" s="122"/>
      <c r="C54" s="122"/>
      <c r="D54" s="122"/>
      <c r="E54" s="122"/>
      <c r="F54" s="122"/>
      <c r="G54" s="122"/>
      <c r="H54" s="123"/>
    </row>
    <row r="55" spans="1:8">
      <c r="A55" s="124" t="s">
        <v>284</v>
      </c>
      <c r="B55" s="82"/>
      <c r="C55" s="82" t="s">
        <v>158</v>
      </c>
      <c r="D55" s="82"/>
      <c r="E55" s="82" t="s">
        <v>159</v>
      </c>
      <c r="F55" s="82"/>
      <c r="G55" s="82" t="s">
        <v>285</v>
      </c>
      <c r="H55" s="125"/>
    </row>
    <row r="56" ht="38" customHeight="1" spans="1:8">
      <c r="A56" s="126" t="s">
        <v>161</v>
      </c>
      <c r="B56" s="127"/>
      <c r="C56" s="86" t="s">
        <v>87</v>
      </c>
      <c r="D56" s="86"/>
      <c r="E56" s="86"/>
      <c r="F56" s="86"/>
      <c r="G56" s="86"/>
      <c r="H56" s="128"/>
    </row>
    <row r="57" ht="62" customHeight="1" spans="1:8">
      <c r="A57" s="126" t="s">
        <v>162</v>
      </c>
      <c r="B57" s="127"/>
      <c r="C57" s="86" t="s">
        <v>286</v>
      </c>
      <c r="D57" s="86"/>
      <c r="E57" s="86"/>
      <c r="F57" s="86"/>
      <c r="G57" s="86"/>
      <c r="H57" s="128"/>
    </row>
    <row r="58" ht="56" customHeight="1" spans="1:8">
      <c r="A58" s="126" t="s">
        <v>164</v>
      </c>
      <c r="B58" s="127"/>
      <c r="C58" s="88" t="s">
        <v>287</v>
      </c>
      <c r="D58" s="88"/>
      <c r="E58" s="88"/>
      <c r="F58" s="88"/>
      <c r="G58" s="88"/>
      <c r="H58" s="129"/>
    </row>
    <row r="59" ht="46" customHeight="1" spans="1:8">
      <c r="A59" s="126" t="s">
        <v>166</v>
      </c>
      <c r="B59" s="127"/>
      <c r="C59" s="86" t="s">
        <v>288</v>
      </c>
      <c r="D59" s="86"/>
      <c r="E59" s="86"/>
      <c r="F59" s="86"/>
      <c r="G59" s="86"/>
      <c r="H59" s="128"/>
    </row>
    <row r="60" ht="48" customHeight="1" spans="1:8">
      <c r="A60" s="126" t="s">
        <v>168</v>
      </c>
      <c r="B60" s="127"/>
      <c r="C60" s="90" t="s">
        <v>289</v>
      </c>
      <c r="D60" s="90"/>
      <c r="E60" s="90"/>
      <c r="F60" s="90"/>
      <c r="G60" s="90"/>
      <c r="H60" s="130"/>
    </row>
    <row r="61" ht="46" customHeight="1" spans="1:8">
      <c r="A61" s="126" t="s">
        <v>170</v>
      </c>
      <c r="B61" s="127"/>
      <c r="C61" s="86" t="s">
        <v>290</v>
      </c>
      <c r="D61" s="86"/>
      <c r="E61" s="86"/>
      <c r="F61" s="86"/>
      <c r="G61" s="86"/>
      <c r="H61" s="128"/>
    </row>
    <row r="62" ht="44" customHeight="1" spans="1:8">
      <c r="A62" s="126" t="s">
        <v>172</v>
      </c>
      <c r="B62" s="127"/>
      <c r="C62" s="86" t="s">
        <v>88</v>
      </c>
      <c r="D62" s="86"/>
      <c r="E62" s="86"/>
      <c r="F62" s="86"/>
      <c r="G62" s="86"/>
      <c r="H62" s="128"/>
    </row>
    <row r="63" ht="48" customHeight="1" spans="1:8">
      <c r="A63" s="126" t="s">
        <v>173</v>
      </c>
      <c r="B63" s="127"/>
      <c r="C63" s="92" t="s">
        <v>291</v>
      </c>
      <c r="D63" s="92"/>
      <c r="E63" s="92"/>
      <c r="F63" s="92"/>
      <c r="G63" s="92"/>
      <c r="H63" s="131"/>
    </row>
    <row r="64" ht="38" customHeight="1" spans="1:8">
      <c r="A64" s="132" t="s">
        <v>175</v>
      </c>
      <c r="B64" s="133"/>
      <c r="C64" s="134" t="s">
        <v>285</v>
      </c>
      <c r="D64" s="134"/>
      <c r="E64" s="135" t="s">
        <v>292</v>
      </c>
      <c r="F64" s="135"/>
      <c r="G64" s="135"/>
      <c r="H64" s="136"/>
    </row>
    <row r="65" ht="14" customHeight="1" spans="1:8">
      <c r="A65" s="3"/>
      <c r="B65" s="3"/>
      <c r="C65" s="3"/>
      <c r="D65" s="3"/>
      <c r="E65" s="3"/>
      <c r="F65" s="3"/>
      <c r="G65" s="3"/>
      <c r="H65" s="3"/>
    </row>
    <row r="66" ht="32" customHeight="1" spans="1:8">
      <c r="A66" s="121" t="s">
        <v>293</v>
      </c>
      <c r="B66" s="122"/>
      <c r="C66" s="122"/>
      <c r="D66" s="122"/>
      <c r="E66" s="122"/>
      <c r="F66" s="122"/>
      <c r="G66" s="122"/>
      <c r="H66" s="123"/>
    </row>
    <row r="67" spans="1:8">
      <c r="A67" s="124" t="s">
        <v>284</v>
      </c>
      <c r="B67" s="82"/>
      <c r="C67" s="82" t="s">
        <v>207</v>
      </c>
      <c r="D67" s="82"/>
      <c r="E67" s="82" t="s">
        <v>159</v>
      </c>
      <c r="F67" s="82"/>
      <c r="G67" s="82" t="s">
        <v>294</v>
      </c>
      <c r="H67" s="125"/>
    </row>
    <row r="68" ht="38" customHeight="1" spans="1:8">
      <c r="A68" s="126" t="s">
        <v>161</v>
      </c>
      <c r="B68" s="127"/>
      <c r="C68" s="86" t="s">
        <v>90</v>
      </c>
      <c r="D68" s="86"/>
      <c r="E68" s="86"/>
      <c r="F68" s="86"/>
      <c r="G68" s="86"/>
      <c r="H68" s="128"/>
    </row>
    <row r="69" ht="62" customHeight="1" spans="1:8">
      <c r="A69" s="126" t="s">
        <v>162</v>
      </c>
      <c r="B69" s="127"/>
      <c r="C69" s="86" t="s">
        <v>295</v>
      </c>
      <c r="D69" s="86"/>
      <c r="E69" s="86"/>
      <c r="F69" s="86"/>
      <c r="G69" s="86"/>
      <c r="H69" s="128"/>
    </row>
    <row r="70" ht="56" customHeight="1" spans="1:8">
      <c r="A70" s="126" t="s">
        <v>164</v>
      </c>
      <c r="B70" s="127"/>
      <c r="C70" s="88" t="s">
        <v>296</v>
      </c>
      <c r="D70" s="88"/>
      <c r="E70" s="88"/>
      <c r="F70" s="88"/>
      <c r="G70" s="88"/>
      <c r="H70" s="129"/>
    </row>
    <row r="71" ht="46" customHeight="1" spans="1:8">
      <c r="A71" s="126" t="s">
        <v>166</v>
      </c>
      <c r="B71" s="127"/>
      <c r="C71" s="86" t="s">
        <v>297</v>
      </c>
      <c r="D71" s="86"/>
      <c r="E71" s="86"/>
      <c r="F71" s="86"/>
      <c r="G71" s="86"/>
      <c r="H71" s="128"/>
    </row>
    <row r="72" ht="48" customHeight="1" spans="1:8">
      <c r="A72" s="126" t="s">
        <v>168</v>
      </c>
      <c r="B72" s="127"/>
      <c r="C72" s="90" t="s">
        <v>298</v>
      </c>
      <c r="D72" s="90"/>
      <c r="E72" s="90"/>
      <c r="F72" s="90"/>
      <c r="G72" s="90"/>
      <c r="H72" s="130"/>
    </row>
    <row r="73" ht="46" customHeight="1" spans="1:8">
      <c r="A73" s="126" t="s">
        <v>170</v>
      </c>
      <c r="B73" s="127"/>
      <c r="C73" s="86" t="s">
        <v>299</v>
      </c>
      <c r="D73" s="86"/>
      <c r="E73" s="86"/>
      <c r="F73" s="86"/>
      <c r="G73" s="86"/>
      <c r="H73" s="128"/>
    </row>
    <row r="74" ht="44" customHeight="1" spans="1:8">
      <c r="A74" s="126" t="s">
        <v>172</v>
      </c>
      <c r="B74" s="127"/>
      <c r="C74" s="86" t="s">
        <v>91</v>
      </c>
      <c r="D74" s="86"/>
      <c r="E74" s="86"/>
      <c r="F74" s="86"/>
      <c r="G74" s="86"/>
      <c r="H74" s="128"/>
    </row>
    <row r="75" ht="48" customHeight="1" spans="1:8">
      <c r="A75" s="126" t="s">
        <v>173</v>
      </c>
      <c r="B75" s="127"/>
      <c r="C75" s="92" t="s">
        <v>300</v>
      </c>
      <c r="D75" s="92"/>
      <c r="E75" s="92"/>
      <c r="F75" s="92"/>
      <c r="G75" s="92"/>
      <c r="H75" s="131"/>
    </row>
    <row r="76" ht="38" customHeight="1" spans="1:8">
      <c r="A76" s="132" t="s">
        <v>175</v>
      </c>
      <c r="B76" s="133"/>
      <c r="C76" s="134" t="s">
        <v>294</v>
      </c>
      <c r="D76" s="134"/>
      <c r="E76" s="135" t="s">
        <v>301</v>
      </c>
      <c r="F76" s="135"/>
      <c r="G76" s="135"/>
      <c r="H76" s="136"/>
    </row>
    <row r="77" ht="14" customHeight="1" spans="1:8">
      <c r="A77" s="3"/>
      <c r="B77" s="3"/>
      <c r="C77" s="3"/>
      <c r="D77" s="3"/>
      <c r="E77" s="3"/>
      <c r="F77" s="3"/>
      <c r="G77" s="3"/>
      <c r="H77" s="3"/>
    </row>
    <row r="78" ht="32" customHeight="1" spans="1:8">
      <c r="A78" s="121" t="s">
        <v>302</v>
      </c>
      <c r="B78" s="122"/>
      <c r="C78" s="122"/>
      <c r="D78" s="122"/>
      <c r="E78" s="122"/>
      <c r="F78" s="122"/>
      <c r="G78" s="122"/>
      <c r="H78" s="123"/>
    </row>
    <row r="79" spans="1:8">
      <c r="A79" s="124" t="s">
        <v>284</v>
      </c>
      <c r="B79" s="82"/>
      <c r="C79" s="82" t="s">
        <v>178</v>
      </c>
      <c r="D79" s="82"/>
      <c r="E79" s="82" t="s">
        <v>159</v>
      </c>
      <c r="F79" s="82"/>
      <c r="G79" s="82" t="s">
        <v>303</v>
      </c>
      <c r="H79" s="125"/>
    </row>
    <row r="80" ht="38" customHeight="1" spans="1:8">
      <c r="A80" s="126" t="s">
        <v>161</v>
      </c>
      <c r="B80" s="127"/>
      <c r="C80" s="86" t="s">
        <v>93</v>
      </c>
      <c r="D80" s="86"/>
      <c r="E80" s="86"/>
      <c r="F80" s="86"/>
      <c r="G80" s="86"/>
      <c r="H80" s="128"/>
    </row>
    <row r="81" ht="62" customHeight="1" spans="1:8">
      <c r="A81" s="126" t="s">
        <v>162</v>
      </c>
      <c r="B81" s="127"/>
      <c r="C81" s="86" t="s">
        <v>304</v>
      </c>
      <c r="D81" s="86"/>
      <c r="E81" s="86"/>
      <c r="F81" s="86"/>
      <c r="G81" s="86"/>
      <c r="H81" s="128"/>
    </row>
    <row r="82" ht="56" customHeight="1" spans="1:8">
      <c r="A82" s="126" t="s">
        <v>164</v>
      </c>
      <c r="B82" s="127"/>
      <c r="C82" s="88" t="s">
        <v>305</v>
      </c>
      <c r="D82" s="88"/>
      <c r="E82" s="88"/>
      <c r="F82" s="88"/>
      <c r="G82" s="88"/>
      <c r="H82" s="129"/>
    </row>
    <row r="83" ht="46" customHeight="1" spans="1:8">
      <c r="A83" s="126" t="s">
        <v>166</v>
      </c>
      <c r="B83" s="127"/>
      <c r="C83" s="86" t="s">
        <v>306</v>
      </c>
      <c r="D83" s="86"/>
      <c r="E83" s="86"/>
      <c r="F83" s="86"/>
      <c r="G83" s="86"/>
      <c r="H83" s="128"/>
    </row>
    <row r="84" ht="48" customHeight="1" spans="1:8">
      <c r="A84" s="126" t="s">
        <v>168</v>
      </c>
      <c r="B84" s="127"/>
      <c r="C84" s="90" t="s">
        <v>307</v>
      </c>
      <c r="D84" s="90"/>
      <c r="E84" s="90"/>
      <c r="F84" s="90"/>
      <c r="G84" s="90"/>
      <c r="H84" s="130"/>
    </row>
    <row r="85" ht="46" customHeight="1" spans="1:8">
      <c r="A85" s="126" t="s">
        <v>170</v>
      </c>
      <c r="B85" s="127"/>
      <c r="C85" s="86" t="s">
        <v>308</v>
      </c>
      <c r="D85" s="86"/>
      <c r="E85" s="86"/>
      <c r="F85" s="86"/>
      <c r="G85" s="86"/>
      <c r="H85" s="128"/>
    </row>
    <row r="86" ht="44" customHeight="1" spans="1:8">
      <c r="A86" s="126" t="s">
        <v>172</v>
      </c>
      <c r="B86" s="127"/>
      <c r="C86" s="86" t="s">
        <v>94</v>
      </c>
      <c r="D86" s="86"/>
      <c r="E86" s="86"/>
      <c r="F86" s="86"/>
      <c r="G86" s="86"/>
      <c r="H86" s="128"/>
    </row>
    <row r="87" ht="48" customHeight="1" spans="1:8">
      <c r="A87" s="126" t="s">
        <v>173</v>
      </c>
      <c r="B87" s="127"/>
      <c r="C87" s="92" t="s">
        <v>309</v>
      </c>
      <c r="D87" s="92"/>
      <c r="E87" s="92"/>
      <c r="F87" s="92"/>
      <c r="G87" s="92"/>
      <c r="H87" s="131"/>
    </row>
    <row r="88" ht="38" customHeight="1" spans="1:8">
      <c r="A88" s="132" t="s">
        <v>175</v>
      </c>
      <c r="B88" s="133"/>
      <c r="C88" s="134" t="s">
        <v>303</v>
      </c>
      <c r="D88" s="134"/>
      <c r="E88" s="135" t="s">
        <v>310</v>
      </c>
      <c r="F88" s="135"/>
      <c r="G88" s="135"/>
      <c r="H88" s="136"/>
    </row>
    <row r="89" ht="14" customHeight="1" spans="1:8">
      <c r="A89" s="3"/>
      <c r="B89" s="3"/>
      <c r="C89" s="3"/>
      <c r="D89" s="3"/>
      <c r="E89" s="3"/>
      <c r="F89" s="3"/>
      <c r="G89" s="3"/>
      <c r="H89" s="3"/>
    </row>
    <row r="90" ht="32" customHeight="1" spans="1:8">
      <c r="A90" s="121" t="s">
        <v>311</v>
      </c>
      <c r="B90" s="122"/>
      <c r="C90" s="122"/>
      <c r="D90" s="122"/>
      <c r="E90" s="122"/>
      <c r="F90" s="122"/>
      <c r="G90" s="122"/>
      <c r="H90" s="123"/>
    </row>
    <row r="91" spans="1:8">
      <c r="A91" s="124" t="s">
        <v>284</v>
      </c>
      <c r="B91" s="82"/>
      <c r="C91" s="82" t="s">
        <v>235</v>
      </c>
      <c r="D91" s="82"/>
      <c r="E91" s="82" t="s">
        <v>159</v>
      </c>
      <c r="F91" s="82"/>
      <c r="G91" s="82" t="s">
        <v>312</v>
      </c>
      <c r="H91" s="125"/>
    </row>
    <row r="92" ht="38" customHeight="1" spans="1:8">
      <c r="A92" s="126" t="s">
        <v>161</v>
      </c>
      <c r="B92" s="127"/>
      <c r="C92" s="86" t="s">
        <v>96</v>
      </c>
      <c r="D92" s="86"/>
      <c r="E92" s="86"/>
      <c r="F92" s="86"/>
      <c r="G92" s="86"/>
      <c r="H92" s="128"/>
    </row>
    <row r="93" ht="62" customHeight="1" spans="1:8">
      <c r="A93" s="126" t="s">
        <v>162</v>
      </c>
      <c r="B93" s="127"/>
      <c r="C93" s="86" t="s">
        <v>313</v>
      </c>
      <c r="D93" s="86"/>
      <c r="E93" s="86"/>
      <c r="F93" s="86"/>
      <c r="G93" s="86"/>
      <c r="H93" s="128"/>
    </row>
    <row r="94" ht="56" customHeight="1" spans="1:8">
      <c r="A94" s="126" t="s">
        <v>164</v>
      </c>
      <c r="B94" s="127"/>
      <c r="C94" s="88" t="s">
        <v>314</v>
      </c>
      <c r="D94" s="88"/>
      <c r="E94" s="88"/>
      <c r="F94" s="88"/>
      <c r="G94" s="88"/>
      <c r="H94" s="129"/>
    </row>
    <row r="95" ht="46" customHeight="1" spans="1:8">
      <c r="A95" s="126" t="s">
        <v>166</v>
      </c>
      <c r="B95" s="127"/>
      <c r="C95" s="86" t="s">
        <v>315</v>
      </c>
      <c r="D95" s="86"/>
      <c r="E95" s="86"/>
      <c r="F95" s="86"/>
      <c r="G95" s="86"/>
      <c r="H95" s="128"/>
    </row>
    <row r="96" ht="48" customHeight="1" spans="1:8">
      <c r="A96" s="126" t="s">
        <v>168</v>
      </c>
      <c r="B96" s="127"/>
      <c r="C96" s="90" t="s">
        <v>316</v>
      </c>
      <c r="D96" s="90"/>
      <c r="E96" s="90"/>
      <c r="F96" s="90"/>
      <c r="G96" s="90"/>
      <c r="H96" s="130"/>
    </row>
    <row r="97" ht="46" customHeight="1" spans="1:8">
      <c r="A97" s="126" t="s">
        <v>170</v>
      </c>
      <c r="B97" s="127"/>
      <c r="C97" s="86" t="s">
        <v>317</v>
      </c>
      <c r="D97" s="86"/>
      <c r="E97" s="86"/>
      <c r="F97" s="86"/>
      <c r="G97" s="86"/>
      <c r="H97" s="128"/>
    </row>
    <row r="98" ht="44" customHeight="1" spans="1:8">
      <c r="A98" s="126" t="s">
        <v>172</v>
      </c>
      <c r="B98" s="127"/>
      <c r="C98" s="86" t="s">
        <v>97</v>
      </c>
      <c r="D98" s="86"/>
      <c r="E98" s="86"/>
      <c r="F98" s="86"/>
      <c r="G98" s="86"/>
      <c r="H98" s="128"/>
    </row>
    <row r="99" ht="48" customHeight="1" spans="1:8">
      <c r="A99" s="126" t="s">
        <v>173</v>
      </c>
      <c r="B99" s="127"/>
      <c r="C99" s="92" t="s">
        <v>318</v>
      </c>
      <c r="D99" s="92"/>
      <c r="E99" s="92"/>
      <c r="F99" s="92"/>
      <c r="G99" s="92"/>
      <c r="H99" s="131"/>
    </row>
    <row r="100" ht="38" customHeight="1" spans="1:8">
      <c r="A100" s="132" t="s">
        <v>175</v>
      </c>
      <c r="B100" s="133"/>
      <c r="C100" s="134" t="s">
        <v>312</v>
      </c>
      <c r="D100" s="134"/>
      <c r="E100" s="135" t="s">
        <v>319</v>
      </c>
      <c r="F100" s="135"/>
      <c r="G100" s="135"/>
      <c r="H100" s="136"/>
    </row>
    <row r="101" ht="14" customHeight="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</sheetData>
  <mergeCells count="195">
    <mergeCell ref="A1:H1"/>
    <mergeCell ref="A2:H2"/>
    <mergeCell ref="A4:H4"/>
    <mergeCell ref="A6:H6"/>
    <mergeCell ref="A7:B7"/>
    <mergeCell ref="C7:D7"/>
    <mergeCell ref="E7:F7"/>
    <mergeCell ref="G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D16"/>
    <mergeCell ref="E16:H16"/>
    <mergeCell ref="A18:H18"/>
    <mergeCell ref="A19:B19"/>
    <mergeCell ref="C19:D19"/>
    <mergeCell ref="E19:F19"/>
    <mergeCell ref="G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D28"/>
    <mergeCell ref="E28:H28"/>
    <mergeCell ref="A30:H30"/>
    <mergeCell ref="A31:B31"/>
    <mergeCell ref="C31:D31"/>
    <mergeCell ref="E31:F31"/>
    <mergeCell ref="G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D40"/>
    <mergeCell ref="E40:H40"/>
    <mergeCell ref="A42:H42"/>
    <mergeCell ref="A43:B43"/>
    <mergeCell ref="C43:D43"/>
    <mergeCell ref="E43:F43"/>
    <mergeCell ref="G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D52"/>
    <mergeCell ref="E52:H52"/>
    <mergeCell ref="A54:H54"/>
    <mergeCell ref="A55:B55"/>
    <mergeCell ref="C55:D55"/>
    <mergeCell ref="E55:F55"/>
    <mergeCell ref="G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A64:B64"/>
    <mergeCell ref="C64:D64"/>
    <mergeCell ref="E64:H64"/>
    <mergeCell ref="A66:H66"/>
    <mergeCell ref="A67:B67"/>
    <mergeCell ref="C67:D67"/>
    <mergeCell ref="E67:F67"/>
    <mergeCell ref="G67:H67"/>
    <mergeCell ref="A68:B68"/>
    <mergeCell ref="C68:H68"/>
    <mergeCell ref="A69:B69"/>
    <mergeCell ref="C69:H69"/>
    <mergeCell ref="A70:B70"/>
    <mergeCell ref="C70:H70"/>
    <mergeCell ref="A71:B71"/>
    <mergeCell ref="C71:H71"/>
    <mergeCell ref="A72:B72"/>
    <mergeCell ref="C72:H72"/>
    <mergeCell ref="A73:B73"/>
    <mergeCell ref="C73:H73"/>
    <mergeCell ref="A74:B74"/>
    <mergeCell ref="C74:H74"/>
    <mergeCell ref="A75:B75"/>
    <mergeCell ref="C75:H75"/>
    <mergeCell ref="A76:B76"/>
    <mergeCell ref="C76:D76"/>
    <mergeCell ref="E76:H76"/>
    <mergeCell ref="A78:H78"/>
    <mergeCell ref="A79:B79"/>
    <mergeCell ref="C79:D79"/>
    <mergeCell ref="E79:F79"/>
    <mergeCell ref="G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B86"/>
    <mergeCell ref="C86:H86"/>
    <mergeCell ref="A87:B87"/>
    <mergeCell ref="C87:H87"/>
    <mergeCell ref="A88:B88"/>
    <mergeCell ref="C88:D88"/>
    <mergeCell ref="E88:H88"/>
    <mergeCell ref="A90:H90"/>
    <mergeCell ref="A91:B91"/>
    <mergeCell ref="C91:D91"/>
    <mergeCell ref="E91:F91"/>
    <mergeCell ref="G91:H91"/>
    <mergeCell ref="A92:B92"/>
    <mergeCell ref="C92:H92"/>
    <mergeCell ref="A93:B93"/>
    <mergeCell ref="C93:H93"/>
    <mergeCell ref="A94:B94"/>
    <mergeCell ref="C94:H94"/>
    <mergeCell ref="A95:B95"/>
    <mergeCell ref="C95:H95"/>
    <mergeCell ref="A96:B96"/>
    <mergeCell ref="C96:H96"/>
    <mergeCell ref="A97:B97"/>
    <mergeCell ref="C97:H97"/>
    <mergeCell ref="A98:B98"/>
    <mergeCell ref="C98:H98"/>
    <mergeCell ref="A99:B99"/>
    <mergeCell ref="C99:H99"/>
    <mergeCell ref="A100:B100"/>
    <mergeCell ref="C100:D100"/>
    <mergeCell ref="E100:H10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showGridLines="0" workbookViewId="0">
      <selection activeCell="A1" sqref="A1:H1"/>
    </sheetView>
  </sheetViews>
  <sheetFormatPr defaultColWidth="9" defaultRowHeight="16.8" outlineLevelCol="7"/>
  <cols>
    <col min="1" max="2" width="14" customWidth="1"/>
    <col min="3" max="8" width="18" customWidth="1"/>
  </cols>
  <sheetData>
    <row r="1" ht="40" customHeight="1" spans="1:8">
      <c r="A1" s="1" t="s">
        <v>320</v>
      </c>
      <c r="B1" s="1"/>
      <c r="C1" s="1"/>
      <c r="D1" s="1"/>
      <c r="E1" s="1"/>
      <c r="F1" s="1"/>
      <c r="G1" s="1"/>
      <c r="H1" s="1"/>
    </row>
    <row r="2" ht="30" customHeight="1" spans="1:8">
      <c r="A2" s="22" t="s">
        <v>321</v>
      </c>
      <c r="B2" s="22"/>
      <c r="C2" s="22"/>
      <c r="D2" s="22"/>
      <c r="E2" s="22"/>
      <c r="F2" s="22"/>
      <c r="G2" s="22"/>
      <c r="H2" s="22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99" t="s">
        <v>155</v>
      </c>
      <c r="B4" s="100"/>
      <c r="C4" s="100"/>
      <c r="D4" s="100"/>
      <c r="E4" s="100"/>
      <c r="F4" s="100"/>
      <c r="G4" s="100"/>
      <c r="H4" s="101"/>
    </row>
    <row r="5" spans="1:8">
      <c r="A5" s="3"/>
      <c r="B5" s="3"/>
      <c r="C5" s="3"/>
      <c r="D5" s="3"/>
      <c r="E5" s="3"/>
      <c r="F5" s="3"/>
      <c r="G5" s="3"/>
      <c r="H5" s="3"/>
    </row>
    <row r="6" ht="32" customHeight="1" spans="1:8">
      <c r="A6" s="102" t="s">
        <v>322</v>
      </c>
      <c r="B6" s="103"/>
      <c r="C6" s="103"/>
      <c r="D6" s="103"/>
      <c r="E6" s="103"/>
      <c r="F6" s="103"/>
      <c r="G6" s="103"/>
      <c r="H6" s="104"/>
    </row>
    <row r="7" spans="1:8">
      <c r="A7" s="105" t="s">
        <v>323</v>
      </c>
      <c r="B7" s="82"/>
      <c r="C7" s="82" t="s">
        <v>158</v>
      </c>
      <c r="D7" s="82"/>
      <c r="E7" s="82" t="s">
        <v>159</v>
      </c>
      <c r="F7" s="82"/>
      <c r="G7" s="82" t="s">
        <v>324</v>
      </c>
      <c r="H7" s="106"/>
    </row>
    <row r="8" ht="38" customHeight="1" spans="1:8">
      <c r="A8" s="107" t="s">
        <v>161</v>
      </c>
      <c r="B8" s="108"/>
      <c r="C8" s="86" t="s">
        <v>126</v>
      </c>
      <c r="D8" s="86"/>
      <c r="E8" s="86"/>
      <c r="F8" s="86"/>
      <c r="G8" s="86"/>
      <c r="H8" s="109"/>
    </row>
    <row r="9" ht="62" customHeight="1" spans="1:8">
      <c r="A9" s="107" t="s">
        <v>162</v>
      </c>
      <c r="B9" s="108"/>
      <c r="C9" s="86" t="s">
        <v>325</v>
      </c>
      <c r="D9" s="86"/>
      <c r="E9" s="86"/>
      <c r="F9" s="86"/>
      <c r="G9" s="86"/>
      <c r="H9" s="109"/>
    </row>
    <row r="10" ht="56" customHeight="1" spans="1:8">
      <c r="A10" s="107" t="s">
        <v>164</v>
      </c>
      <c r="B10" s="108"/>
      <c r="C10" s="88" t="s">
        <v>326</v>
      </c>
      <c r="D10" s="88"/>
      <c r="E10" s="88"/>
      <c r="F10" s="88"/>
      <c r="G10" s="88"/>
      <c r="H10" s="110"/>
    </row>
    <row r="11" ht="46" customHeight="1" spans="1:8">
      <c r="A11" s="107" t="s">
        <v>166</v>
      </c>
      <c r="B11" s="108"/>
      <c r="C11" s="86" t="s">
        <v>327</v>
      </c>
      <c r="D11" s="86"/>
      <c r="E11" s="86"/>
      <c r="F11" s="86"/>
      <c r="G11" s="86"/>
      <c r="H11" s="109"/>
    </row>
    <row r="12" ht="48" customHeight="1" spans="1:8">
      <c r="A12" s="107" t="s">
        <v>168</v>
      </c>
      <c r="B12" s="108"/>
      <c r="C12" s="90" t="s">
        <v>328</v>
      </c>
      <c r="D12" s="90"/>
      <c r="E12" s="90"/>
      <c r="F12" s="90"/>
      <c r="G12" s="90"/>
      <c r="H12" s="111"/>
    </row>
    <row r="13" ht="46" customHeight="1" spans="1:8">
      <c r="A13" s="107" t="s">
        <v>170</v>
      </c>
      <c r="B13" s="108"/>
      <c r="C13" s="86" t="s">
        <v>329</v>
      </c>
      <c r="D13" s="86"/>
      <c r="E13" s="86"/>
      <c r="F13" s="86"/>
      <c r="G13" s="86"/>
      <c r="H13" s="109"/>
    </row>
    <row r="14" ht="44" customHeight="1" spans="1:8">
      <c r="A14" s="107" t="s">
        <v>172</v>
      </c>
      <c r="B14" s="108"/>
      <c r="C14" s="86" t="s">
        <v>127</v>
      </c>
      <c r="D14" s="86"/>
      <c r="E14" s="86"/>
      <c r="F14" s="86"/>
      <c r="G14" s="86"/>
      <c r="H14" s="109"/>
    </row>
    <row r="15" ht="48" customHeight="1" spans="1:8">
      <c r="A15" s="107" t="s">
        <v>173</v>
      </c>
      <c r="B15" s="108"/>
      <c r="C15" s="92" t="s">
        <v>330</v>
      </c>
      <c r="D15" s="92"/>
      <c r="E15" s="92"/>
      <c r="F15" s="92"/>
      <c r="G15" s="92"/>
      <c r="H15" s="112"/>
    </row>
    <row r="16" ht="38" customHeight="1" spans="1:8">
      <c r="A16" s="113" t="s">
        <v>175</v>
      </c>
      <c r="B16" s="114"/>
      <c r="C16" s="115" t="s">
        <v>324</v>
      </c>
      <c r="D16" s="115"/>
      <c r="E16" s="116" t="s">
        <v>331</v>
      </c>
      <c r="F16" s="116"/>
      <c r="G16" s="116"/>
      <c r="H16" s="117"/>
    </row>
    <row r="17" ht="14" customHeight="1" spans="1:8">
      <c r="A17" s="3"/>
      <c r="B17" s="3"/>
      <c r="C17" s="3"/>
      <c r="D17" s="3"/>
      <c r="E17" s="3"/>
      <c r="F17" s="3"/>
      <c r="G17" s="3"/>
      <c r="H17" s="3"/>
    </row>
    <row r="18" ht="32" customHeight="1" spans="1:8">
      <c r="A18" s="102" t="s">
        <v>332</v>
      </c>
      <c r="B18" s="103"/>
      <c r="C18" s="103"/>
      <c r="D18" s="103"/>
      <c r="E18" s="103"/>
      <c r="F18" s="103"/>
      <c r="G18" s="103"/>
      <c r="H18" s="104"/>
    </row>
    <row r="19" spans="1:8">
      <c r="A19" s="105" t="s">
        <v>323</v>
      </c>
      <c r="B19" s="82"/>
      <c r="C19" s="82" t="s">
        <v>333</v>
      </c>
      <c r="D19" s="82"/>
      <c r="E19" s="82" t="s">
        <v>159</v>
      </c>
      <c r="F19" s="82"/>
      <c r="G19" s="82" t="s">
        <v>334</v>
      </c>
      <c r="H19" s="106"/>
    </row>
    <row r="20" ht="38" customHeight="1" spans="1:8">
      <c r="A20" s="107" t="s">
        <v>161</v>
      </c>
      <c r="B20" s="108"/>
      <c r="C20" s="86" t="s">
        <v>129</v>
      </c>
      <c r="D20" s="86"/>
      <c r="E20" s="86"/>
      <c r="F20" s="86"/>
      <c r="G20" s="86"/>
      <c r="H20" s="109"/>
    </row>
    <row r="21" ht="62" customHeight="1" spans="1:8">
      <c r="A21" s="107" t="s">
        <v>162</v>
      </c>
      <c r="B21" s="108"/>
      <c r="C21" s="86" t="s">
        <v>335</v>
      </c>
      <c r="D21" s="86"/>
      <c r="E21" s="86"/>
      <c r="F21" s="86"/>
      <c r="G21" s="86"/>
      <c r="H21" s="109"/>
    </row>
    <row r="22" ht="56" customHeight="1" spans="1:8">
      <c r="A22" s="107" t="s">
        <v>164</v>
      </c>
      <c r="B22" s="108"/>
      <c r="C22" s="88" t="s">
        <v>336</v>
      </c>
      <c r="D22" s="88"/>
      <c r="E22" s="88"/>
      <c r="F22" s="88"/>
      <c r="G22" s="88"/>
      <c r="H22" s="110"/>
    </row>
    <row r="23" ht="46" customHeight="1" spans="1:8">
      <c r="A23" s="107" t="s">
        <v>166</v>
      </c>
      <c r="B23" s="108"/>
      <c r="C23" s="86" t="s">
        <v>337</v>
      </c>
      <c r="D23" s="86"/>
      <c r="E23" s="86"/>
      <c r="F23" s="86"/>
      <c r="G23" s="86"/>
      <c r="H23" s="109"/>
    </row>
    <row r="24" ht="48" customHeight="1" spans="1:8">
      <c r="A24" s="107" t="s">
        <v>168</v>
      </c>
      <c r="B24" s="108"/>
      <c r="C24" s="90" t="s">
        <v>338</v>
      </c>
      <c r="D24" s="90"/>
      <c r="E24" s="90"/>
      <c r="F24" s="90"/>
      <c r="G24" s="90"/>
      <c r="H24" s="111"/>
    </row>
    <row r="25" ht="46" customHeight="1" spans="1:8">
      <c r="A25" s="107" t="s">
        <v>170</v>
      </c>
      <c r="B25" s="108"/>
      <c r="C25" s="86" t="s">
        <v>339</v>
      </c>
      <c r="D25" s="86"/>
      <c r="E25" s="86"/>
      <c r="F25" s="86"/>
      <c r="G25" s="86"/>
      <c r="H25" s="109"/>
    </row>
    <row r="26" ht="44" customHeight="1" spans="1:8">
      <c r="A26" s="107" t="s">
        <v>172</v>
      </c>
      <c r="B26" s="108"/>
      <c r="C26" s="86" t="s">
        <v>130</v>
      </c>
      <c r="D26" s="86"/>
      <c r="E26" s="86"/>
      <c r="F26" s="86"/>
      <c r="G26" s="86"/>
      <c r="H26" s="109"/>
    </row>
    <row r="27" ht="48" customHeight="1" spans="1:8">
      <c r="A27" s="107" t="s">
        <v>173</v>
      </c>
      <c r="B27" s="108"/>
      <c r="C27" s="92" t="s">
        <v>340</v>
      </c>
      <c r="D27" s="92"/>
      <c r="E27" s="92"/>
      <c r="F27" s="92"/>
      <c r="G27" s="92"/>
      <c r="H27" s="112"/>
    </row>
    <row r="28" ht="38" customHeight="1" spans="1:8">
      <c r="A28" s="113" t="s">
        <v>175</v>
      </c>
      <c r="B28" s="114"/>
      <c r="C28" s="115" t="s">
        <v>334</v>
      </c>
      <c r="D28" s="115"/>
      <c r="E28" s="116" t="s">
        <v>341</v>
      </c>
      <c r="F28" s="116"/>
      <c r="G28" s="116"/>
      <c r="H28" s="117"/>
    </row>
    <row r="29" ht="14" customHeight="1" spans="1:8">
      <c r="A29" s="3"/>
      <c r="B29" s="3"/>
      <c r="C29" s="3"/>
      <c r="D29" s="3"/>
      <c r="E29" s="3"/>
      <c r="F29" s="3"/>
      <c r="G29" s="3"/>
      <c r="H29" s="3"/>
    </row>
    <row r="30" ht="32" customHeight="1" spans="1:8">
      <c r="A30" s="102" t="s">
        <v>342</v>
      </c>
      <c r="B30" s="103"/>
      <c r="C30" s="103"/>
      <c r="D30" s="103"/>
      <c r="E30" s="103"/>
      <c r="F30" s="103"/>
      <c r="G30" s="103"/>
      <c r="H30" s="104"/>
    </row>
    <row r="31" spans="1:8">
      <c r="A31" s="105" t="s">
        <v>323</v>
      </c>
      <c r="B31" s="82"/>
      <c r="C31" s="82" t="s">
        <v>158</v>
      </c>
      <c r="D31" s="82"/>
      <c r="E31" s="82" t="s">
        <v>159</v>
      </c>
      <c r="F31" s="82"/>
      <c r="G31" s="82" t="s">
        <v>343</v>
      </c>
      <c r="H31" s="106"/>
    </row>
    <row r="32" ht="38" customHeight="1" spans="1:8">
      <c r="A32" s="107" t="s">
        <v>161</v>
      </c>
      <c r="B32" s="108"/>
      <c r="C32" s="86" t="s">
        <v>132</v>
      </c>
      <c r="D32" s="86"/>
      <c r="E32" s="86"/>
      <c r="F32" s="86"/>
      <c r="G32" s="86"/>
      <c r="H32" s="109"/>
    </row>
    <row r="33" ht="62" customHeight="1" spans="1:8">
      <c r="A33" s="107" t="s">
        <v>162</v>
      </c>
      <c r="B33" s="108"/>
      <c r="C33" s="86" t="s">
        <v>344</v>
      </c>
      <c r="D33" s="86"/>
      <c r="E33" s="86"/>
      <c r="F33" s="86"/>
      <c r="G33" s="86"/>
      <c r="H33" s="109"/>
    </row>
    <row r="34" ht="56" customHeight="1" spans="1:8">
      <c r="A34" s="107" t="s">
        <v>164</v>
      </c>
      <c r="B34" s="108"/>
      <c r="C34" s="88" t="s">
        <v>345</v>
      </c>
      <c r="D34" s="88"/>
      <c r="E34" s="88"/>
      <c r="F34" s="88"/>
      <c r="G34" s="88"/>
      <c r="H34" s="110"/>
    </row>
    <row r="35" ht="46" customHeight="1" spans="1:8">
      <c r="A35" s="107" t="s">
        <v>166</v>
      </c>
      <c r="B35" s="108"/>
      <c r="C35" s="86" t="s">
        <v>346</v>
      </c>
      <c r="D35" s="86"/>
      <c r="E35" s="86"/>
      <c r="F35" s="86"/>
      <c r="G35" s="86"/>
      <c r="H35" s="109"/>
    </row>
    <row r="36" ht="48" customHeight="1" spans="1:8">
      <c r="A36" s="107" t="s">
        <v>168</v>
      </c>
      <c r="B36" s="108"/>
      <c r="C36" s="90" t="s">
        <v>347</v>
      </c>
      <c r="D36" s="90"/>
      <c r="E36" s="90"/>
      <c r="F36" s="90"/>
      <c r="G36" s="90"/>
      <c r="H36" s="111"/>
    </row>
    <row r="37" ht="46" customHeight="1" spans="1:8">
      <c r="A37" s="107" t="s">
        <v>170</v>
      </c>
      <c r="B37" s="108"/>
      <c r="C37" s="86" t="s">
        <v>348</v>
      </c>
      <c r="D37" s="86"/>
      <c r="E37" s="86"/>
      <c r="F37" s="86"/>
      <c r="G37" s="86"/>
      <c r="H37" s="109"/>
    </row>
    <row r="38" ht="44" customHeight="1" spans="1:8">
      <c r="A38" s="107" t="s">
        <v>172</v>
      </c>
      <c r="B38" s="108"/>
      <c r="C38" s="86" t="s">
        <v>133</v>
      </c>
      <c r="D38" s="86"/>
      <c r="E38" s="86"/>
      <c r="F38" s="86"/>
      <c r="G38" s="86"/>
      <c r="H38" s="109"/>
    </row>
    <row r="39" ht="48" customHeight="1" spans="1:8">
      <c r="A39" s="107" t="s">
        <v>173</v>
      </c>
      <c r="B39" s="108"/>
      <c r="C39" s="92" t="s">
        <v>349</v>
      </c>
      <c r="D39" s="92"/>
      <c r="E39" s="92"/>
      <c r="F39" s="92"/>
      <c r="G39" s="92"/>
      <c r="H39" s="112"/>
    </row>
    <row r="40" ht="38" customHeight="1" spans="1:8">
      <c r="A40" s="113" t="s">
        <v>175</v>
      </c>
      <c r="B40" s="114"/>
      <c r="C40" s="115" t="s">
        <v>343</v>
      </c>
      <c r="D40" s="115"/>
      <c r="E40" s="116" t="s">
        <v>350</v>
      </c>
      <c r="F40" s="116"/>
      <c r="G40" s="116"/>
      <c r="H40" s="117"/>
    </row>
    <row r="41" ht="14" customHeight="1" spans="1:8">
      <c r="A41" s="3"/>
      <c r="B41" s="3"/>
      <c r="C41" s="3"/>
      <c r="D41" s="3"/>
      <c r="E41" s="3"/>
      <c r="F41" s="3"/>
      <c r="G41" s="3"/>
      <c r="H41" s="3"/>
    </row>
    <row r="42" ht="32" customHeight="1" spans="1:8">
      <c r="A42" s="102" t="s">
        <v>351</v>
      </c>
      <c r="B42" s="103"/>
      <c r="C42" s="103"/>
      <c r="D42" s="103"/>
      <c r="E42" s="103"/>
      <c r="F42" s="103"/>
      <c r="G42" s="103"/>
      <c r="H42" s="104"/>
    </row>
    <row r="43" spans="1:8">
      <c r="A43" s="105" t="s">
        <v>323</v>
      </c>
      <c r="B43" s="82"/>
      <c r="C43" s="82" t="s">
        <v>352</v>
      </c>
      <c r="D43" s="82"/>
      <c r="E43" s="82" t="s">
        <v>159</v>
      </c>
      <c r="F43" s="82"/>
      <c r="G43" s="82" t="s">
        <v>353</v>
      </c>
      <c r="H43" s="106"/>
    </row>
    <row r="44" ht="38" customHeight="1" spans="1:8">
      <c r="A44" s="107" t="s">
        <v>161</v>
      </c>
      <c r="B44" s="108"/>
      <c r="C44" s="86" t="s">
        <v>135</v>
      </c>
      <c r="D44" s="86"/>
      <c r="E44" s="86"/>
      <c r="F44" s="86"/>
      <c r="G44" s="86"/>
      <c r="H44" s="109"/>
    </row>
    <row r="45" ht="62" customHeight="1" spans="1:8">
      <c r="A45" s="107" t="s">
        <v>162</v>
      </c>
      <c r="B45" s="108"/>
      <c r="C45" s="86" t="s">
        <v>354</v>
      </c>
      <c r="D45" s="86"/>
      <c r="E45" s="86"/>
      <c r="F45" s="86"/>
      <c r="G45" s="86"/>
      <c r="H45" s="109"/>
    </row>
    <row r="46" ht="56" customHeight="1" spans="1:8">
      <c r="A46" s="107" t="s">
        <v>164</v>
      </c>
      <c r="B46" s="108"/>
      <c r="C46" s="88" t="s">
        <v>355</v>
      </c>
      <c r="D46" s="88"/>
      <c r="E46" s="88"/>
      <c r="F46" s="88"/>
      <c r="G46" s="88"/>
      <c r="H46" s="110"/>
    </row>
    <row r="47" ht="46" customHeight="1" spans="1:8">
      <c r="A47" s="107" t="s">
        <v>166</v>
      </c>
      <c r="B47" s="108"/>
      <c r="C47" s="86" t="s">
        <v>356</v>
      </c>
      <c r="D47" s="86"/>
      <c r="E47" s="86"/>
      <c r="F47" s="86"/>
      <c r="G47" s="86"/>
      <c r="H47" s="109"/>
    </row>
    <row r="48" ht="48" customHeight="1" spans="1:8">
      <c r="A48" s="107" t="s">
        <v>168</v>
      </c>
      <c r="B48" s="108"/>
      <c r="C48" s="90" t="s">
        <v>357</v>
      </c>
      <c r="D48" s="90"/>
      <c r="E48" s="90"/>
      <c r="F48" s="90"/>
      <c r="G48" s="90"/>
      <c r="H48" s="111"/>
    </row>
    <row r="49" ht="46" customHeight="1" spans="1:8">
      <c r="A49" s="107" t="s">
        <v>170</v>
      </c>
      <c r="B49" s="108"/>
      <c r="C49" s="86" t="s">
        <v>358</v>
      </c>
      <c r="D49" s="86"/>
      <c r="E49" s="86"/>
      <c r="F49" s="86"/>
      <c r="G49" s="86"/>
      <c r="H49" s="109"/>
    </row>
    <row r="50" ht="44" customHeight="1" spans="1:8">
      <c r="A50" s="107" t="s">
        <v>172</v>
      </c>
      <c r="B50" s="108"/>
      <c r="C50" s="86" t="s">
        <v>136</v>
      </c>
      <c r="D50" s="86"/>
      <c r="E50" s="86"/>
      <c r="F50" s="86"/>
      <c r="G50" s="86"/>
      <c r="H50" s="109"/>
    </row>
    <row r="51" ht="48" customHeight="1" spans="1:8">
      <c r="A51" s="107" t="s">
        <v>173</v>
      </c>
      <c r="B51" s="108"/>
      <c r="C51" s="92" t="s">
        <v>359</v>
      </c>
      <c r="D51" s="92"/>
      <c r="E51" s="92"/>
      <c r="F51" s="92"/>
      <c r="G51" s="92"/>
      <c r="H51" s="112"/>
    </row>
    <row r="52" ht="38" customHeight="1" spans="1:8">
      <c r="A52" s="113" t="s">
        <v>175</v>
      </c>
      <c r="B52" s="114"/>
      <c r="C52" s="115" t="s">
        <v>353</v>
      </c>
      <c r="D52" s="115"/>
      <c r="E52" s="116" t="s">
        <v>360</v>
      </c>
      <c r="F52" s="116"/>
      <c r="G52" s="116"/>
      <c r="H52" s="117"/>
    </row>
    <row r="53" ht="14" customHeight="1" spans="1:8">
      <c r="A53" s="3"/>
      <c r="B53" s="3"/>
      <c r="C53" s="3"/>
      <c r="D53" s="3"/>
      <c r="E53" s="3"/>
      <c r="F53" s="3"/>
      <c r="G53" s="3"/>
      <c r="H53" s="3"/>
    </row>
    <row r="54" ht="32" customHeight="1" spans="1:8">
      <c r="A54" s="102" t="s">
        <v>361</v>
      </c>
      <c r="B54" s="103"/>
      <c r="C54" s="103"/>
      <c r="D54" s="103"/>
      <c r="E54" s="103"/>
      <c r="F54" s="103"/>
      <c r="G54" s="103"/>
      <c r="H54" s="104"/>
    </row>
    <row r="55" spans="1:8">
      <c r="A55" s="105" t="s">
        <v>362</v>
      </c>
      <c r="B55" s="82"/>
      <c r="C55" s="82" t="s">
        <v>158</v>
      </c>
      <c r="D55" s="82"/>
      <c r="E55" s="82" t="s">
        <v>159</v>
      </c>
      <c r="F55" s="82"/>
      <c r="G55" s="82" t="s">
        <v>363</v>
      </c>
      <c r="H55" s="106"/>
    </row>
    <row r="56" ht="38" customHeight="1" spans="1:8">
      <c r="A56" s="107" t="s">
        <v>161</v>
      </c>
      <c r="B56" s="108"/>
      <c r="C56" s="86" t="s">
        <v>139</v>
      </c>
      <c r="D56" s="86"/>
      <c r="E56" s="86"/>
      <c r="F56" s="86"/>
      <c r="G56" s="86"/>
      <c r="H56" s="109"/>
    </row>
    <row r="57" ht="62" customHeight="1" spans="1:8">
      <c r="A57" s="107" t="s">
        <v>162</v>
      </c>
      <c r="B57" s="108"/>
      <c r="C57" s="86" t="s">
        <v>364</v>
      </c>
      <c r="D57" s="86"/>
      <c r="E57" s="86"/>
      <c r="F57" s="86"/>
      <c r="G57" s="86"/>
      <c r="H57" s="109"/>
    </row>
    <row r="58" ht="56" customHeight="1" spans="1:8">
      <c r="A58" s="107" t="s">
        <v>164</v>
      </c>
      <c r="B58" s="108"/>
      <c r="C58" s="88" t="s">
        <v>365</v>
      </c>
      <c r="D58" s="88"/>
      <c r="E58" s="88"/>
      <c r="F58" s="88"/>
      <c r="G58" s="88"/>
      <c r="H58" s="110"/>
    </row>
    <row r="59" ht="46" customHeight="1" spans="1:8">
      <c r="A59" s="107" t="s">
        <v>166</v>
      </c>
      <c r="B59" s="108"/>
      <c r="C59" s="86" t="s">
        <v>366</v>
      </c>
      <c r="D59" s="86"/>
      <c r="E59" s="86"/>
      <c r="F59" s="86"/>
      <c r="G59" s="86"/>
      <c r="H59" s="109"/>
    </row>
    <row r="60" ht="48" customHeight="1" spans="1:8">
      <c r="A60" s="107" t="s">
        <v>168</v>
      </c>
      <c r="B60" s="108"/>
      <c r="C60" s="90" t="s">
        <v>367</v>
      </c>
      <c r="D60" s="90"/>
      <c r="E60" s="90"/>
      <c r="F60" s="90"/>
      <c r="G60" s="90"/>
      <c r="H60" s="111"/>
    </row>
    <row r="61" ht="46" customHeight="1" spans="1:8">
      <c r="A61" s="107" t="s">
        <v>170</v>
      </c>
      <c r="B61" s="108"/>
      <c r="C61" s="86" t="s">
        <v>368</v>
      </c>
      <c r="D61" s="86"/>
      <c r="E61" s="86"/>
      <c r="F61" s="86"/>
      <c r="G61" s="86"/>
      <c r="H61" s="109"/>
    </row>
    <row r="62" ht="44" customHeight="1" spans="1:8">
      <c r="A62" s="107" t="s">
        <v>172</v>
      </c>
      <c r="B62" s="108"/>
      <c r="C62" s="86" t="s">
        <v>140</v>
      </c>
      <c r="D62" s="86"/>
      <c r="E62" s="86"/>
      <c r="F62" s="86"/>
      <c r="G62" s="86"/>
      <c r="H62" s="109"/>
    </row>
    <row r="63" ht="48" customHeight="1" spans="1:8">
      <c r="A63" s="107" t="s">
        <v>173</v>
      </c>
      <c r="B63" s="108"/>
      <c r="C63" s="92" t="s">
        <v>369</v>
      </c>
      <c r="D63" s="92"/>
      <c r="E63" s="92"/>
      <c r="F63" s="92"/>
      <c r="G63" s="92"/>
      <c r="H63" s="112"/>
    </row>
    <row r="64" ht="38" customHeight="1" spans="1:8">
      <c r="A64" s="113" t="s">
        <v>175</v>
      </c>
      <c r="B64" s="114"/>
      <c r="C64" s="115" t="s">
        <v>363</v>
      </c>
      <c r="D64" s="115"/>
      <c r="E64" s="116" t="s">
        <v>370</v>
      </c>
      <c r="F64" s="116"/>
      <c r="G64" s="116"/>
      <c r="H64" s="117"/>
    </row>
    <row r="65" ht="14" customHeight="1" spans="1:8">
      <c r="A65" s="3"/>
      <c r="B65" s="3"/>
      <c r="C65" s="3"/>
      <c r="D65" s="3"/>
      <c r="E65" s="3"/>
      <c r="F65" s="3"/>
      <c r="G65" s="3"/>
      <c r="H65" s="3"/>
    </row>
    <row r="66" ht="32" customHeight="1" spans="1:8">
      <c r="A66" s="102" t="s">
        <v>371</v>
      </c>
      <c r="B66" s="103"/>
      <c r="C66" s="103"/>
      <c r="D66" s="103"/>
      <c r="E66" s="103"/>
      <c r="F66" s="103"/>
      <c r="G66" s="103"/>
      <c r="H66" s="104"/>
    </row>
    <row r="67" spans="1:8">
      <c r="A67" s="105" t="s">
        <v>362</v>
      </c>
      <c r="B67" s="82"/>
      <c r="C67" s="82" t="s">
        <v>372</v>
      </c>
      <c r="D67" s="82"/>
      <c r="E67" s="82" t="s">
        <v>159</v>
      </c>
      <c r="F67" s="82"/>
      <c r="G67" s="82" t="s">
        <v>373</v>
      </c>
      <c r="H67" s="106"/>
    </row>
    <row r="68" ht="38" customHeight="1" spans="1:8">
      <c r="A68" s="107" t="s">
        <v>161</v>
      </c>
      <c r="B68" s="108"/>
      <c r="C68" s="86" t="s">
        <v>142</v>
      </c>
      <c r="D68" s="86"/>
      <c r="E68" s="86"/>
      <c r="F68" s="86"/>
      <c r="G68" s="86"/>
      <c r="H68" s="109"/>
    </row>
    <row r="69" ht="62" customHeight="1" spans="1:8">
      <c r="A69" s="107" t="s">
        <v>162</v>
      </c>
      <c r="B69" s="108"/>
      <c r="C69" s="86" t="s">
        <v>374</v>
      </c>
      <c r="D69" s="86"/>
      <c r="E69" s="86"/>
      <c r="F69" s="86"/>
      <c r="G69" s="86"/>
      <c r="H69" s="109"/>
    </row>
    <row r="70" ht="56" customHeight="1" spans="1:8">
      <c r="A70" s="107" t="s">
        <v>164</v>
      </c>
      <c r="B70" s="108"/>
      <c r="C70" s="88" t="s">
        <v>375</v>
      </c>
      <c r="D70" s="88"/>
      <c r="E70" s="88"/>
      <c r="F70" s="88"/>
      <c r="G70" s="88"/>
      <c r="H70" s="110"/>
    </row>
    <row r="71" ht="46" customHeight="1" spans="1:8">
      <c r="A71" s="107" t="s">
        <v>166</v>
      </c>
      <c r="B71" s="108"/>
      <c r="C71" s="86" t="s">
        <v>376</v>
      </c>
      <c r="D71" s="86"/>
      <c r="E71" s="86"/>
      <c r="F71" s="86"/>
      <c r="G71" s="86"/>
      <c r="H71" s="109"/>
    </row>
    <row r="72" ht="48" customHeight="1" spans="1:8">
      <c r="A72" s="107" t="s">
        <v>168</v>
      </c>
      <c r="B72" s="108"/>
      <c r="C72" s="90" t="s">
        <v>377</v>
      </c>
      <c r="D72" s="90"/>
      <c r="E72" s="90"/>
      <c r="F72" s="90"/>
      <c r="G72" s="90"/>
      <c r="H72" s="111"/>
    </row>
    <row r="73" ht="46" customHeight="1" spans="1:8">
      <c r="A73" s="107" t="s">
        <v>170</v>
      </c>
      <c r="B73" s="108"/>
      <c r="C73" s="86" t="s">
        <v>378</v>
      </c>
      <c r="D73" s="86"/>
      <c r="E73" s="86"/>
      <c r="F73" s="86"/>
      <c r="G73" s="86"/>
      <c r="H73" s="109"/>
    </row>
    <row r="74" ht="44" customHeight="1" spans="1:8">
      <c r="A74" s="107" t="s">
        <v>172</v>
      </c>
      <c r="B74" s="108"/>
      <c r="C74" s="86" t="s">
        <v>143</v>
      </c>
      <c r="D74" s="86"/>
      <c r="E74" s="86"/>
      <c r="F74" s="86"/>
      <c r="G74" s="86"/>
      <c r="H74" s="109"/>
    </row>
    <row r="75" ht="48" customHeight="1" spans="1:8">
      <c r="A75" s="107" t="s">
        <v>173</v>
      </c>
      <c r="B75" s="108"/>
      <c r="C75" s="92" t="s">
        <v>379</v>
      </c>
      <c r="D75" s="92"/>
      <c r="E75" s="92"/>
      <c r="F75" s="92"/>
      <c r="G75" s="92"/>
      <c r="H75" s="112"/>
    </row>
    <row r="76" ht="38" customHeight="1" spans="1:8">
      <c r="A76" s="113" t="s">
        <v>175</v>
      </c>
      <c r="B76" s="114"/>
      <c r="C76" s="115" t="s">
        <v>373</v>
      </c>
      <c r="D76" s="115"/>
      <c r="E76" s="116" t="s">
        <v>380</v>
      </c>
      <c r="F76" s="116"/>
      <c r="G76" s="116"/>
      <c r="H76" s="117"/>
    </row>
    <row r="77" ht="14" customHeight="1" spans="1:8">
      <c r="A77" s="3"/>
      <c r="B77" s="3"/>
      <c r="C77" s="3"/>
      <c r="D77" s="3"/>
      <c r="E77" s="3"/>
      <c r="F77" s="3"/>
      <c r="G77" s="3"/>
      <c r="H77" s="3"/>
    </row>
    <row r="78" ht="32" customHeight="1" spans="1:8">
      <c r="A78" s="102" t="s">
        <v>381</v>
      </c>
      <c r="B78" s="103"/>
      <c r="C78" s="103"/>
      <c r="D78" s="103"/>
      <c r="E78" s="103"/>
      <c r="F78" s="103"/>
      <c r="G78" s="103"/>
      <c r="H78" s="104"/>
    </row>
    <row r="79" spans="1:8">
      <c r="A79" s="105" t="s">
        <v>362</v>
      </c>
      <c r="B79" s="82"/>
      <c r="C79" s="82" t="s">
        <v>382</v>
      </c>
      <c r="D79" s="82"/>
      <c r="E79" s="82" t="s">
        <v>159</v>
      </c>
      <c r="F79" s="82"/>
      <c r="G79" s="82" t="s">
        <v>383</v>
      </c>
      <c r="H79" s="106"/>
    </row>
    <row r="80" ht="38" customHeight="1" spans="1:8">
      <c r="A80" s="107" t="s">
        <v>161</v>
      </c>
      <c r="B80" s="108"/>
      <c r="C80" s="86" t="s">
        <v>146</v>
      </c>
      <c r="D80" s="86"/>
      <c r="E80" s="86"/>
      <c r="F80" s="86"/>
      <c r="G80" s="86"/>
      <c r="H80" s="109"/>
    </row>
    <row r="81" ht="62" customHeight="1" spans="1:8">
      <c r="A81" s="107" t="s">
        <v>162</v>
      </c>
      <c r="B81" s="108"/>
      <c r="C81" s="86" t="s">
        <v>384</v>
      </c>
      <c r="D81" s="86"/>
      <c r="E81" s="86"/>
      <c r="F81" s="86"/>
      <c r="G81" s="86"/>
      <c r="H81" s="109"/>
    </row>
    <row r="82" ht="56" customHeight="1" spans="1:8">
      <c r="A82" s="107" t="s">
        <v>164</v>
      </c>
      <c r="B82" s="108"/>
      <c r="C82" s="88" t="s">
        <v>385</v>
      </c>
      <c r="D82" s="88"/>
      <c r="E82" s="88"/>
      <c r="F82" s="88"/>
      <c r="G82" s="88"/>
      <c r="H82" s="110"/>
    </row>
    <row r="83" ht="46" customHeight="1" spans="1:8">
      <c r="A83" s="107" t="s">
        <v>166</v>
      </c>
      <c r="B83" s="108"/>
      <c r="C83" s="86" t="s">
        <v>386</v>
      </c>
      <c r="D83" s="86"/>
      <c r="E83" s="86"/>
      <c r="F83" s="86"/>
      <c r="G83" s="86"/>
      <c r="H83" s="109"/>
    </row>
    <row r="84" ht="48" customHeight="1" spans="1:8">
      <c r="A84" s="107" t="s">
        <v>168</v>
      </c>
      <c r="B84" s="108"/>
      <c r="C84" s="90" t="s">
        <v>387</v>
      </c>
      <c r="D84" s="90"/>
      <c r="E84" s="90"/>
      <c r="F84" s="90"/>
      <c r="G84" s="90"/>
      <c r="H84" s="111"/>
    </row>
    <row r="85" ht="46" customHeight="1" spans="1:8">
      <c r="A85" s="107" t="s">
        <v>170</v>
      </c>
      <c r="B85" s="108"/>
      <c r="C85" s="86" t="s">
        <v>388</v>
      </c>
      <c r="D85" s="86"/>
      <c r="E85" s="86"/>
      <c r="F85" s="86"/>
      <c r="G85" s="86"/>
      <c r="H85" s="109"/>
    </row>
    <row r="86" ht="44" customHeight="1" spans="1:8">
      <c r="A86" s="107" t="s">
        <v>172</v>
      </c>
      <c r="B86" s="108"/>
      <c r="C86" s="86" t="s">
        <v>147</v>
      </c>
      <c r="D86" s="86"/>
      <c r="E86" s="86"/>
      <c r="F86" s="86"/>
      <c r="G86" s="86"/>
      <c r="H86" s="109"/>
    </row>
    <row r="87" ht="48" customHeight="1" spans="1:8">
      <c r="A87" s="107" t="s">
        <v>173</v>
      </c>
      <c r="B87" s="108"/>
      <c r="C87" s="92" t="s">
        <v>389</v>
      </c>
      <c r="D87" s="92"/>
      <c r="E87" s="92"/>
      <c r="F87" s="92"/>
      <c r="G87" s="92"/>
      <c r="H87" s="112"/>
    </row>
    <row r="88" ht="38" customHeight="1" spans="1:8">
      <c r="A88" s="113" t="s">
        <v>175</v>
      </c>
      <c r="B88" s="114"/>
      <c r="C88" s="115" t="s">
        <v>383</v>
      </c>
      <c r="D88" s="115"/>
      <c r="E88" s="116" t="s">
        <v>390</v>
      </c>
      <c r="F88" s="116"/>
      <c r="G88" s="116"/>
      <c r="H88" s="117"/>
    </row>
    <row r="89" ht="14" customHeight="1" spans="1:8">
      <c r="A89" s="3"/>
      <c r="B89" s="3"/>
      <c r="C89" s="3"/>
      <c r="D89" s="3"/>
      <c r="E89" s="3"/>
      <c r="F89" s="3"/>
      <c r="G89" s="3"/>
      <c r="H89" s="3"/>
    </row>
    <row r="90" ht="32" customHeight="1" spans="1:8">
      <c r="A90" s="102" t="s">
        <v>391</v>
      </c>
      <c r="B90" s="103"/>
      <c r="C90" s="103"/>
      <c r="D90" s="103"/>
      <c r="E90" s="103"/>
      <c r="F90" s="103"/>
      <c r="G90" s="103"/>
      <c r="H90" s="104"/>
    </row>
    <row r="91" spans="1:8">
      <c r="A91" s="105" t="s">
        <v>362</v>
      </c>
      <c r="B91" s="82"/>
      <c r="C91" s="82" t="s">
        <v>392</v>
      </c>
      <c r="D91" s="82"/>
      <c r="E91" s="82" t="s">
        <v>159</v>
      </c>
      <c r="F91" s="82"/>
      <c r="G91" s="82" t="s">
        <v>393</v>
      </c>
      <c r="H91" s="106"/>
    </row>
    <row r="92" ht="38" customHeight="1" spans="1:8">
      <c r="A92" s="107" t="s">
        <v>161</v>
      </c>
      <c r="B92" s="108"/>
      <c r="C92" s="86" t="s">
        <v>150</v>
      </c>
      <c r="D92" s="86"/>
      <c r="E92" s="86"/>
      <c r="F92" s="86"/>
      <c r="G92" s="86"/>
      <c r="H92" s="109"/>
    </row>
    <row r="93" ht="62" customHeight="1" spans="1:8">
      <c r="A93" s="107" t="s">
        <v>162</v>
      </c>
      <c r="B93" s="108"/>
      <c r="C93" s="86" t="s">
        <v>394</v>
      </c>
      <c r="D93" s="86"/>
      <c r="E93" s="86"/>
      <c r="F93" s="86"/>
      <c r="G93" s="86"/>
      <c r="H93" s="109"/>
    </row>
    <row r="94" ht="56" customHeight="1" spans="1:8">
      <c r="A94" s="107" t="s">
        <v>164</v>
      </c>
      <c r="B94" s="108"/>
      <c r="C94" s="88" t="s">
        <v>395</v>
      </c>
      <c r="D94" s="88"/>
      <c r="E94" s="88"/>
      <c r="F94" s="88"/>
      <c r="G94" s="88"/>
      <c r="H94" s="110"/>
    </row>
    <row r="95" ht="46" customHeight="1" spans="1:8">
      <c r="A95" s="107" t="s">
        <v>166</v>
      </c>
      <c r="B95" s="108"/>
      <c r="C95" s="86" t="s">
        <v>396</v>
      </c>
      <c r="D95" s="86"/>
      <c r="E95" s="86"/>
      <c r="F95" s="86"/>
      <c r="G95" s="86"/>
      <c r="H95" s="109"/>
    </row>
    <row r="96" ht="48" customHeight="1" spans="1:8">
      <c r="A96" s="107" t="s">
        <v>168</v>
      </c>
      <c r="B96" s="108"/>
      <c r="C96" s="90" t="s">
        <v>397</v>
      </c>
      <c r="D96" s="90"/>
      <c r="E96" s="90"/>
      <c r="F96" s="90"/>
      <c r="G96" s="90"/>
      <c r="H96" s="111"/>
    </row>
    <row r="97" ht="46" customHeight="1" spans="1:8">
      <c r="A97" s="107" t="s">
        <v>170</v>
      </c>
      <c r="B97" s="108"/>
      <c r="C97" s="86" t="s">
        <v>398</v>
      </c>
      <c r="D97" s="86"/>
      <c r="E97" s="86"/>
      <c r="F97" s="86"/>
      <c r="G97" s="86"/>
      <c r="H97" s="109"/>
    </row>
    <row r="98" ht="44" customHeight="1" spans="1:8">
      <c r="A98" s="107" t="s">
        <v>172</v>
      </c>
      <c r="B98" s="108"/>
      <c r="C98" s="86" t="s">
        <v>151</v>
      </c>
      <c r="D98" s="86"/>
      <c r="E98" s="86"/>
      <c r="F98" s="86"/>
      <c r="G98" s="86"/>
      <c r="H98" s="109"/>
    </row>
    <row r="99" ht="48" customHeight="1" spans="1:8">
      <c r="A99" s="107" t="s">
        <v>173</v>
      </c>
      <c r="B99" s="108"/>
      <c r="C99" s="92" t="s">
        <v>399</v>
      </c>
      <c r="D99" s="92"/>
      <c r="E99" s="92"/>
      <c r="F99" s="92"/>
      <c r="G99" s="92"/>
      <c r="H99" s="112"/>
    </row>
    <row r="100" ht="38" customHeight="1" spans="1:8">
      <c r="A100" s="113" t="s">
        <v>175</v>
      </c>
      <c r="B100" s="114"/>
      <c r="C100" s="115" t="s">
        <v>393</v>
      </c>
      <c r="D100" s="115"/>
      <c r="E100" s="116" t="s">
        <v>400</v>
      </c>
      <c r="F100" s="116"/>
      <c r="G100" s="116"/>
      <c r="H100" s="117"/>
    </row>
    <row r="101" ht="14" customHeight="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</sheetData>
  <mergeCells count="195">
    <mergeCell ref="A1:H1"/>
    <mergeCell ref="A2:H2"/>
    <mergeCell ref="A4:H4"/>
    <mergeCell ref="A6:H6"/>
    <mergeCell ref="A7:B7"/>
    <mergeCell ref="C7:D7"/>
    <mergeCell ref="E7:F7"/>
    <mergeCell ref="G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D16"/>
    <mergeCell ref="E16:H16"/>
    <mergeCell ref="A18:H18"/>
    <mergeCell ref="A19:B19"/>
    <mergeCell ref="C19:D19"/>
    <mergeCell ref="E19:F19"/>
    <mergeCell ref="G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D28"/>
    <mergeCell ref="E28:H28"/>
    <mergeCell ref="A30:H30"/>
    <mergeCell ref="A31:B31"/>
    <mergeCell ref="C31:D31"/>
    <mergeCell ref="E31:F31"/>
    <mergeCell ref="G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D40"/>
    <mergeCell ref="E40:H40"/>
    <mergeCell ref="A42:H42"/>
    <mergeCell ref="A43:B43"/>
    <mergeCell ref="C43:D43"/>
    <mergeCell ref="E43:F43"/>
    <mergeCell ref="G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D52"/>
    <mergeCell ref="E52:H52"/>
    <mergeCell ref="A54:H54"/>
    <mergeCell ref="A55:B55"/>
    <mergeCell ref="C55:D55"/>
    <mergeCell ref="E55:F55"/>
    <mergeCell ref="G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A64:B64"/>
    <mergeCell ref="C64:D64"/>
    <mergeCell ref="E64:H64"/>
    <mergeCell ref="A66:H66"/>
    <mergeCell ref="A67:B67"/>
    <mergeCell ref="C67:D67"/>
    <mergeCell ref="E67:F67"/>
    <mergeCell ref="G67:H67"/>
    <mergeCell ref="A68:B68"/>
    <mergeCell ref="C68:H68"/>
    <mergeCell ref="A69:B69"/>
    <mergeCell ref="C69:H69"/>
    <mergeCell ref="A70:B70"/>
    <mergeCell ref="C70:H70"/>
    <mergeCell ref="A71:B71"/>
    <mergeCell ref="C71:H71"/>
    <mergeCell ref="A72:B72"/>
    <mergeCell ref="C72:H72"/>
    <mergeCell ref="A73:B73"/>
    <mergeCell ref="C73:H73"/>
    <mergeCell ref="A74:B74"/>
    <mergeCell ref="C74:H74"/>
    <mergeCell ref="A75:B75"/>
    <mergeCell ref="C75:H75"/>
    <mergeCell ref="A76:B76"/>
    <mergeCell ref="C76:D76"/>
    <mergeCell ref="E76:H76"/>
    <mergeCell ref="A78:H78"/>
    <mergeCell ref="A79:B79"/>
    <mergeCell ref="C79:D79"/>
    <mergeCell ref="E79:F79"/>
    <mergeCell ref="G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B86"/>
    <mergeCell ref="C86:H86"/>
    <mergeCell ref="A87:B87"/>
    <mergeCell ref="C87:H87"/>
    <mergeCell ref="A88:B88"/>
    <mergeCell ref="C88:D88"/>
    <mergeCell ref="E88:H88"/>
    <mergeCell ref="A90:H90"/>
    <mergeCell ref="A91:B91"/>
    <mergeCell ref="C91:D91"/>
    <mergeCell ref="E91:F91"/>
    <mergeCell ref="G91:H91"/>
    <mergeCell ref="A92:B92"/>
    <mergeCell ref="C92:H92"/>
    <mergeCell ref="A93:B93"/>
    <mergeCell ref="C93:H93"/>
    <mergeCell ref="A94:B94"/>
    <mergeCell ref="C94:H94"/>
    <mergeCell ref="A95:B95"/>
    <mergeCell ref="C95:H95"/>
    <mergeCell ref="A96:B96"/>
    <mergeCell ref="C96:H96"/>
    <mergeCell ref="A97:B97"/>
    <mergeCell ref="C97:H97"/>
    <mergeCell ref="A98:B98"/>
    <mergeCell ref="C98:H98"/>
    <mergeCell ref="A99:B99"/>
    <mergeCell ref="C99:H99"/>
    <mergeCell ref="A100:B100"/>
    <mergeCell ref="C100:D100"/>
    <mergeCell ref="E100:H10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showGridLines="0" workbookViewId="0">
      <selection activeCell="A1" sqref="A1:H1"/>
    </sheetView>
  </sheetViews>
  <sheetFormatPr defaultColWidth="9" defaultRowHeight="16.8" outlineLevelCol="7"/>
  <cols>
    <col min="1" max="2" width="14" customWidth="1"/>
    <col min="3" max="8" width="18" customWidth="1"/>
  </cols>
  <sheetData>
    <row r="1" ht="40" customHeight="1" spans="1:8">
      <c r="A1" s="1" t="s">
        <v>401</v>
      </c>
      <c r="B1" s="1"/>
      <c r="C1" s="1"/>
      <c r="D1" s="1"/>
      <c r="E1" s="1"/>
      <c r="F1" s="1"/>
      <c r="G1" s="1"/>
      <c r="H1" s="1"/>
    </row>
    <row r="2" ht="30" customHeight="1" spans="1:8">
      <c r="A2" s="55" t="s">
        <v>402</v>
      </c>
      <c r="B2" s="55"/>
      <c r="C2" s="55"/>
      <c r="D2" s="55"/>
      <c r="E2" s="55"/>
      <c r="F2" s="55"/>
      <c r="G2" s="55"/>
      <c r="H2" s="55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75" t="s">
        <v>155</v>
      </c>
      <c r="B4" s="76"/>
      <c r="C4" s="76"/>
      <c r="D4" s="76"/>
      <c r="E4" s="76"/>
      <c r="F4" s="76"/>
      <c r="G4" s="76"/>
      <c r="H4" s="77"/>
    </row>
    <row r="5" spans="1:8">
      <c r="A5" s="3"/>
      <c r="B5" s="3"/>
      <c r="C5" s="3"/>
      <c r="D5" s="3"/>
      <c r="E5" s="3"/>
      <c r="F5" s="3"/>
      <c r="G5" s="3"/>
      <c r="H5" s="3"/>
    </row>
    <row r="6" ht="32" customHeight="1" spans="1:8">
      <c r="A6" s="78" t="s">
        <v>403</v>
      </c>
      <c r="B6" s="79"/>
      <c r="C6" s="79"/>
      <c r="D6" s="79"/>
      <c r="E6" s="79"/>
      <c r="F6" s="79"/>
      <c r="G6" s="79"/>
      <c r="H6" s="80"/>
    </row>
    <row r="7" spans="1:8">
      <c r="A7" s="81" t="s">
        <v>404</v>
      </c>
      <c r="B7" s="82"/>
      <c r="C7" s="82" t="s">
        <v>158</v>
      </c>
      <c r="D7" s="82"/>
      <c r="E7" s="82" t="s">
        <v>159</v>
      </c>
      <c r="F7" s="82"/>
      <c r="G7" s="82" t="s">
        <v>405</v>
      </c>
      <c r="H7" s="83"/>
    </row>
    <row r="8" ht="38" customHeight="1" spans="1:8">
      <c r="A8" s="84" t="s">
        <v>161</v>
      </c>
      <c r="B8" s="85"/>
      <c r="C8" s="86" t="s">
        <v>100</v>
      </c>
      <c r="D8" s="86"/>
      <c r="E8" s="86"/>
      <c r="F8" s="86"/>
      <c r="G8" s="86"/>
      <c r="H8" s="87"/>
    </row>
    <row r="9" ht="62" customHeight="1" spans="1:8">
      <c r="A9" s="84" t="s">
        <v>162</v>
      </c>
      <c r="B9" s="85"/>
      <c r="C9" s="86" t="s">
        <v>406</v>
      </c>
      <c r="D9" s="86"/>
      <c r="E9" s="86"/>
      <c r="F9" s="86"/>
      <c r="G9" s="86"/>
      <c r="H9" s="87"/>
    </row>
    <row r="10" ht="56" customHeight="1" spans="1:8">
      <c r="A10" s="84" t="s">
        <v>164</v>
      </c>
      <c r="B10" s="85"/>
      <c r="C10" s="88" t="s">
        <v>407</v>
      </c>
      <c r="D10" s="88"/>
      <c r="E10" s="88"/>
      <c r="F10" s="88"/>
      <c r="G10" s="88"/>
      <c r="H10" s="89"/>
    </row>
    <row r="11" ht="46" customHeight="1" spans="1:8">
      <c r="A11" s="84" t="s">
        <v>166</v>
      </c>
      <c r="B11" s="85"/>
      <c r="C11" s="86" t="s">
        <v>408</v>
      </c>
      <c r="D11" s="86"/>
      <c r="E11" s="86"/>
      <c r="F11" s="86"/>
      <c r="G11" s="86"/>
      <c r="H11" s="87"/>
    </row>
    <row r="12" ht="48" customHeight="1" spans="1:8">
      <c r="A12" s="84" t="s">
        <v>168</v>
      </c>
      <c r="B12" s="85"/>
      <c r="C12" s="90" t="s">
        <v>409</v>
      </c>
      <c r="D12" s="90"/>
      <c r="E12" s="90"/>
      <c r="F12" s="90"/>
      <c r="G12" s="90"/>
      <c r="H12" s="91"/>
    </row>
    <row r="13" ht="46" customHeight="1" spans="1:8">
      <c r="A13" s="84" t="s">
        <v>170</v>
      </c>
      <c r="B13" s="85"/>
      <c r="C13" s="86" t="s">
        <v>410</v>
      </c>
      <c r="D13" s="86"/>
      <c r="E13" s="86"/>
      <c r="F13" s="86"/>
      <c r="G13" s="86"/>
      <c r="H13" s="87"/>
    </row>
    <row r="14" ht="44" customHeight="1" spans="1:8">
      <c r="A14" s="84" t="s">
        <v>172</v>
      </c>
      <c r="B14" s="85"/>
      <c r="C14" s="86" t="s">
        <v>101</v>
      </c>
      <c r="D14" s="86"/>
      <c r="E14" s="86"/>
      <c r="F14" s="86"/>
      <c r="G14" s="86"/>
      <c r="H14" s="87"/>
    </row>
    <row r="15" ht="48" customHeight="1" spans="1:8">
      <c r="A15" s="84" t="s">
        <v>173</v>
      </c>
      <c r="B15" s="85"/>
      <c r="C15" s="92" t="s">
        <v>411</v>
      </c>
      <c r="D15" s="92"/>
      <c r="E15" s="92"/>
      <c r="F15" s="92"/>
      <c r="G15" s="92"/>
      <c r="H15" s="93"/>
    </row>
    <row r="16" ht="38" customHeight="1" spans="1:8">
      <c r="A16" s="94" t="s">
        <v>175</v>
      </c>
      <c r="B16" s="95"/>
      <c r="C16" s="96" t="s">
        <v>405</v>
      </c>
      <c r="D16" s="96"/>
      <c r="E16" s="97" t="s">
        <v>412</v>
      </c>
      <c r="F16" s="97"/>
      <c r="G16" s="97"/>
      <c r="H16" s="98"/>
    </row>
    <row r="17" ht="14" customHeight="1" spans="1:8">
      <c r="A17" s="3"/>
      <c r="B17" s="3"/>
      <c r="C17" s="3"/>
      <c r="D17" s="3"/>
      <c r="E17" s="3"/>
      <c r="F17" s="3"/>
      <c r="G17" s="3"/>
      <c r="H17" s="3"/>
    </row>
    <row r="18" ht="32" customHeight="1" spans="1:8">
      <c r="A18" s="78" t="s">
        <v>413</v>
      </c>
      <c r="B18" s="79"/>
      <c r="C18" s="79"/>
      <c r="D18" s="79"/>
      <c r="E18" s="79"/>
      <c r="F18" s="79"/>
      <c r="G18" s="79"/>
      <c r="H18" s="80"/>
    </row>
    <row r="19" spans="1:8">
      <c r="A19" s="81" t="s">
        <v>404</v>
      </c>
      <c r="B19" s="82"/>
      <c r="C19" s="82" t="s">
        <v>158</v>
      </c>
      <c r="D19" s="82"/>
      <c r="E19" s="82" t="s">
        <v>159</v>
      </c>
      <c r="F19" s="82"/>
      <c r="G19" s="82" t="s">
        <v>414</v>
      </c>
      <c r="H19" s="83"/>
    </row>
    <row r="20" ht="38" customHeight="1" spans="1:8">
      <c r="A20" s="84" t="s">
        <v>161</v>
      </c>
      <c r="B20" s="85"/>
      <c r="C20" s="86" t="s">
        <v>103</v>
      </c>
      <c r="D20" s="86"/>
      <c r="E20" s="86"/>
      <c r="F20" s="86"/>
      <c r="G20" s="86"/>
      <c r="H20" s="87"/>
    </row>
    <row r="21" ht="62" customHeight="1" spans="1:8">
      <c r="A21" s="84" t="s">
        <v>162</v>
      </c>
      <c r="B21" s="85"/>
      <c r="C21" s="86" t="s">
        <v>415</v>
      </c>
      <c r="D21" s="86"/>
      <c r="E21" s="86"/>
      <c r="F21" s="86"/>
      <c r="G21" s="86"/>
      <c r="H21" s="87"/>
    </row>
    <row r="22" ht="56" customHeight="1" spans="1:8">
      <c r="A22" s="84" t="s">
        <v>164</v>
      </c>
      <c r="B22" s="85"/>
      <c r="C22" s="88" t="s">
        <v>416</v>
      </c>
      <c r="D22" s="88"/>
      <c r="E22" s="88"/>
      <c r="F22" s="88"/>
      <c r="G22" s="88"/>
      <c r="H22" s="89"/>
    </row>
    <row r="23" ht="46" customHeight="1" spans="1:8">
      <c r="A23" s="84" t="s">
        <v>166</v>
      </c>
      <c r="B23" s="85"/>
      <c r="C23" s="86" t="s">
        <v>417</v>
      </c>
      <c r="D23" s="86"/>
      <c r="E23" s="86"/>
      <c r="F23" s="86"/>
      <c r="G23" s="86"/>
      <c r="H23" s="87"/>
    </row>
    <row r="24" ht="48" customHeight="1" spans="1:8">
      <c r="A24" s="84" t="s">
        <v>168</v>
      </c>
      <c r="B24" s="85"/>
      <c r="C24" s="90" t="s">
        <v>418</v>
      </c>
      <c r="D24" s="90"/>
      <c r="E24" s="90"/>
      <c r="F24" s="90"/>
      <c r="G24" s="90"/>
      <c r="H24" s="91"/>
    </row>
    <row r="25" ht="46" customHeight="1" spans="1:8">
      <c r="A25" s="84" t="s">
        <v>170</v>
      </c>
      <c r="B25" s="85"/>
      <c r="C25" s="86" t="s">
        <v>419</v>
      </c>
      <c r="D25" s="86"/>
      <c r="E25" s="86"/>
      <c r="F25" s="86"/>
      <c r="G25" s="86"/>
      <c r="H25" s="87"/>
    </row>
    <row r="26" ht="44" customHeight="1" spans="1:8">
      <c r="A26" s="84" t="s">
        <v>172</v>
      </c>
      <c r="B26" s="85"/>
      <c r="C26" s="86" t="s">
        <v>104</v>
      </c>
      <c r="D26" s="86"/>
      <c r="E26" s="86"/>
      <c r="F26" s="86"/>
      <c r="G26" s="86"/>
      <c r="H26" s="87"/>
    </row>
    <row r="27" ht="48" customHeight="1" spans="1:8">
      <c r="A27" s="84" t="s">
        <v>173</v>
      </c>
      <c r="B27" s="85"/>
      <c r="C27" s="92" t="s">
        <v>420</v>
      </c>
      <c r="D27" s="92"/>
      <c r="E27" s="92"/>
      <c r="F27" s="92"/>
      <c r="G27" s="92"/>
      <c r="H27" s="93"/>
    </row>
    <row r="28" ht="38" customHeight="1" spans="1:8">
      <c r="A28" s="94" t="s">
        <v>175</v>
      </c>
      <c r="B28" s="95"/>
      <c r="C28" s="96" t="s">
        <v>414</v>
      </c>
      <c r="D28" s="96"/>
      <c r="E28" s="97" t="s">
        <v>421</v>
      </c>
      <c r="F28" s="97"/>
      <c r="G28" s="97"/>
      <c r="H28" s="98"/>
    </row>
    <row r="29" ht="14" customHeight="1" spans="1:8">
      <c r="A29" s="3"/>
      <c r="B29" s="3"/>
      <c r="C29" s="3"/>
      <c r="D29" s="3"/>
      <c r="E29" s="3"/>
      <c r="F29" s="3"/>
      <c r="G29" s="3"/>
      <c r="H29" s="3"/>
    </row>
    <row r="30" ht="32" customHeight="1" spans="1:8">
      <c r="A30" s="78" t="s">
        <v>422</v>
      </c>
      <c r="B30" s="79"/>
      <c r="C30" s="79"/>
      <c r="D30" s="79"/>
      <c r="E30" s="79"/>
      <c r="F30" s="79"/>
      <c r="G30" s="79"/>
      <c r="H30" s="80"/>
    </row>
    <row r="31" spans="1:8">
      <c r="A31" s="81" t="s">
        <v>404</v>
      </c>
      <c r="B31" s="82"/>
      <c r="C31" s="82" t="s">
        <v>178</v>
      </c>
      <c r="D31" s="82"/>
      <c r="E31" s="82" t="s">
        <v>159</v>
      </c>
      <c r="F31" s="82"/>
      <c r="G31" s="82" t="s">
        <v>423</v>
      </c>
      <c r="H31" s="83"/>
    </row>
    <row r="32" ht="38" customHeight="1" spans="1:8">
      <c r="A32" s="84" t="s">
        <v>161</v>
      </c>
      <c r="B32" s="85"/>
      <c r="C32" s="86" t="s">
        <v>106</v>
      </c>
      <c r="D32" s="86"/>
      <c r="E32" s="86"/>
      <c r="F32" s="86"/>
      <c r="G32" s="86"/>
      <c r="H32" s="87"/>
    </row>
    <row r="33" ht="62" customHeight="1" spans="1:8">
      <c r="A33" s="84" t="s">
        <v>162</v>
      </c>
      <c r="B33" s="85"/>
      <c r="C33" s="86" t="s">
        <v>424</v>
      </c>
      <c r="D33" s="86"/>
      <c r="E33" s="86"/>
      <c r="F33" s="86"/>
      <c r="G33" s="86"/>
      <c r="H33" s="87"/>
    </row>
    <row r="34" ht="56" customHeight="1" spans="1:8">
      <c r="A34" s="84" t="s">
        <v>164</v>
      </c>
      <c r="B34" s="85"/>
      <c r="C34" s="88" t="s">
        <v>425</v>
      </c>
      <c r="D34" s="88"/>
      <c r="E34" s="88"/>
      <c r="F34" s="88"/>
      <c r="G34" s="88"/>
      <c r="H34" s="89"/>
    </row>
    <row r="35" ht="46" customHeight="1" spans="1:8">
      <c r="A35" s="84" t="s">
        <v>166</v>
      </c>
      <c r="B35" s="85"/>
      <c r="C35" s="86" t="s">
        <v>426</v>
      </c>
      <c r="D35" s="86"/>
      <c r="E35" s="86"/>
      <c r="F35" s="86"/>
      <c r="G35" s="86"/>
      <c r="H35" s="87"/>
    </row>
    <row r="36" ht="48" customHeight="1" spans="1:8">
      <c r="A36" s="84" t="s">
        <v>168</v>
      </c>
      <c r="B36" s="85"/>
      <c r="C36" s="90" t="s">
        <v>427</v>
      </c>
      <c r="D36" s="90"/>
      <c r="E36" s="90"/>
      <c r="F36" s="90"/>
      <c r="G36" s="90"/>
      <c r="H36" s="91"/>
    </row>
    <row r="37" ht="46" customHeight="1" spans="1:8">
      <c r="A37" s="84" t="s">
        <v>170</v>
      </c>
      <c r="B37" s="85"/>
      <c r="C37" s="86" t="s">
        <v>428</v>
      </c>
      <c r="D37" s="86"/>
      <c r="E37" s="86"/>
      <c r="F37" s="86"/>
      <c r="G37" s="86"/>
      <c r="H37" s="87"/>
    </row>
    <row r="38" ht="44" customHeight="1" spans="1:8">
      <c r="A38" s="84" t="s">
        <v>172</v>
      </c>
      <c r="B38" s="85"/>
      <c r="C38" s="86" t="s">
        <v>107</v>
      </c>
      <c r="D38" s="86"/>
      <c r="E38" s="86"/>
      <c r="F38" s="86"/>
      <c r="G38" s="86"/>
      <c r="H38" s="87"/>
    </row>
    <row r="39" ht="48" customHeight="1" spans="1:8">
      <c r="A39" s="84" t="s">
        <v>173</v>
      </c>
      <c r="B39" s="85"/>
      <c r="C39" s="92" t="s">
        <v>429</v>
      </c>
      <c r="D39" s="92"/>
      <c r="E39" s="92"/>
      <c r="F39" s="92"/>
      <c r="G39" s="92"/>
      <c r="H39" s="93"/>
    </row>
    <row r="40" ht="38" customHeight="1" spans="1:8">
      <c r="A40" s="94" t="s">
        <v>175</v>
      </c>
      <c r="B40" s="95"/>
      <c r="C40" s="96" t="s">
        <v>423</v>
      </c>
      <c r="D40" s="96"/>
      <c r="E40" s="97" t="s">
        <v>430</v>
      </c>
      <c r="F40" s="97"/>
      <c r="G40" s="97"/>
      <c r="H40" s="98"/>
    </row>
    <row r="41" ht="14" customHeight="1" spans="1:8">
      <c r="A41" s="3"/>
      <c r="B41" s="3"/>
      <c r="C41" s="3"/>
      <c r="D41" s="3"/>
      <c r="E41" s="3"/>
      <c r="F41" s="3"/>
      <c r="G41" s="3"/>
      <c r="H41" s="3"/>
    </row>
    <row r="42" ht="32" customHeight="1" spans="1:8">
      <c r="A42" s="78" t="s">
        <v>431</v>
      </c>
      <c r="B42" s="79"/>
      <c r="C42" s="79"/>
      <c r="D42" s="79"/>
      <c r="E42" s="79"/>
      <c r="F42" s="79"/>
      <c r="G42" s="79"/>
      <c r="H42" s="80"/>
    </row>
    <row r="43" spans="1:8">
      <c r="A43" s="81" t="s">
        <v>404</v>
      </c>
      <c r="B43" s="82"/>
      <c r="C43" s="82" t="s">
        <v>158</v>
      </c>
      <c r="D43" s="82"/>
      <c r="E43" s="82" t="s">
        <v>159</v>
      </c>
      <c r="F43" s="82"/>
      <c r="G43" s="82" t="s">
        <v>432</v>
      </c>
      <c r="H43" s="83"/>
    </row>
    <row r="44" ht="38" customHeight="1" spans="1:8">
      <c r="A44" s="84" t="s">
        <v>161</v>
      </c>
      <c r="B44" s="85"/>
      <c r="C44" s="86" t="s">
        <v>109</v>
      </c>
      <c r="D44" s="86"/>
      <c r="E44" s="86"/>
      <c r="F44" s="86"/>
      <c r="G44" s="86"/>
      <c r="H44" s="87"/>
    </row>
    <row r="45" ht="62" customHeight="1" spans="1:8">
      <c r="A45" s="84" t="s">
        <v>162</v>
      </c>
      <c r="B45" s="85"/>
      <c r="C45" s="86" t="s">
        <v>433</v>
      </c>
      <c r="D45" s="86"/>
      <c r="E45" s="86"/>
      <c r="F45" s="86"/>
      <c r="G45" s="86"/>
      <c r="H45" s="87"/>
    </row>
    <row r="46" ht="56" customHeight="1" spans="1:8">
      <c r="A46" s="84" t="s">
        <v>164</v>
      </c>
      <c r="B46" s="85"/>
      <c r="C46" s="88" t="s">
        <v>434</v>
      </c>
      <c r="D46" s="88"/>
      <c r="E46" s="88"/>
      <c r="F46" s="88"/>
      <c r="G46" s="88"/>
      <c r="H46" s="89"/>
    </row>
    <row r="47" ht="46" customHeight="1" spans="1:8">
      <c r="A47" s="84" t="s">
        <v>166</v>
      </c>
      <c r="B47" s="85"/>
      <c r="C47" s="86" t="s">
        <v>435</v>
      </c>
      <c r="D47" s="86"/>
      <c r="E47" s="86"/>
      <c r="F47" s="86"/>
      <c r="G47" s="86"/>
      <c r="H47" s="87"/>
    </row>
    <row r="48" ht="48" customHeight="1" spans="1:8">
      <c r="A48" s="84" t="s">
        <v>168</v>
      </c>
      <c r="B48" s="85"/>
      <c r="C48" s="90" t="s">
        <v>436</v>
      </c>
      <c r="D48" s="90"/>
      <c r="E48" s="90"/>
      <c r="F48" s="90"/>
      <c r="G48" s="90"/>
      <c r="H48" s="91"/>
    </row>
    <row r="49" ht="46" customHeight="1" spans="1:8">
      <c r="A49" s="84" t="s">
        <v>170</v>
      </c>
      <c r="B49" s="85"/>
      <c r="C49" s="86" t="s">
        <v>437</v>
      </c>
      <c r="D49" s="86"/>
      <c r="E49" s="86"/>
      <c r="F49" s="86"/>
      <c r="G49" s="86"/>
      <c r="H49" s="87"/>
    </row>
    <row r="50" ht="44" customHeight="1" spans="1:8">
      <c r="A50" s="84" t="s">
        <v>172</v>
      </c>
      <c r="B50" s="85"/>
      <c r="C50" s="86" t="s">
        <v>110</v>
      </c>
      <c r="D50" s="86"/>
      <c r="E50" s="86"/>
      <c r="F50" s="86"/>
      <c r="G50" s="86"/>
      <c r="H50" s="87"/>
    </row>
    <row r="51" ht="48" customHeight="1" spans="1:8">
      <c r="A51" s="84" t="s">
        <v>173</v>
      </c>
      <c r="B51" s="85"/>
      <c r="C51" s="92" t="s">
        <v>438</v>
      </c>
      <c r="D51" s="92"/>
      <c r="E51" s="92"/>
      <c r="F51" s="92"/>
      <c r="G51" s="92"/>
      <c r="H51" s="93"/>
    </row>
    <row r="52" ht="38" customHeight="1" spans="1:8">
      <c r="A52" s="94" t="s">
        <v>175</v>
      </c>
      <c r="B52" s="95"/>
      <c r="C52" s="96" t="s">
        <v>432</v>
      </c>
      <c r="D52" s="96"/>
      <c r="E52" s="97" t="s">
        <v>439</v>
      </c>
      <c r="F52" s="97"/>
      <c r="G52" s="97"/>
      <c r="H52" s="98"/>
    </row>
    <row r="53" ht="14" customHeight="1" spans="1:8">
      <c r="A53" s="3"/>
      <c r="B53" s="3"/>
      <c r="C53" s="3"/>
      <c r="D53" s="3"/>
      <c r="E53" s="3"/>
      <c r="F53" s="3"/>
      <c r="G53" s="3"/>
      <c r="H53" s="3"/>
    </row>
    <row r="54" ht="32" customHeight="1" spans="1:8">
      <c r="A54" s="78" t="s">
        <v>440</v>
      </c>
      <c r="B54" s="79"/>
      <c r="C54" s="79"/>
      <c r="D54" s="79"/>
      <c r="E54" s="79"/>
      <c r="F54" s="79"/>
      <c r="G54" s="79"/>
      <c r="H54" s="80"/>
    </row>
    <row r="55" spans="1:8">
      <c r="A55" s="81" t="s">
        <v>441</v>
      </c>
      <c r="B55" s="82"/>
      <c r="C55" s="82" t="s">
        <v>158</v>
      </c>
      <c r="D55" s="82"/>
      <c r="E55" s="82" t="s">
        <v>159</v>
      </c>
      <c r="F55" s="82"/>
      <c r="G55" s="82" t="s">
        <v>442</v>
      </c>
      <c r="H55" s="83"/>
    </row>
    <row r="56" ht="38" customHeight="1" spans="1:8">
      <c r="A56" s="84" t="s">
        <v>161</v>
      </c>
      <c r="B56" s="85"/>
      <c r="C56" s="86" t="s">
        <v>112</v>
      </c>
      <c r="D56" s="86"/>
      <c r="E56" s="86"/>
      <c r="F56" s="86"/>
      <c r="G56" s="86"/>
      <c r="H56" s="87"/>
    </row>
    <row r="57" ht="62" customHeight="1" spans="1:8">
      <c r="A57" s="84" t="s">
        <v>162</v>
      </c>
      <c r="B57" s="85"/>
      <c r="C57" s="86" t="s">
        <v>443</v>
      </c>
      <c r="D57" s="86"/>
      <c r="E57" s="86"/>
      <c r="F57" s="86"/>
      <c r="G57" s="86"/>
      <c r="H57" s="87"/>
    </row>
    <row r="58" ht="56" customHeight="1" spans="1:8">
      <c r="A58" s="84" t="s">
        <v>164</v>
      </c>
      <c r="B58" s="85"/>
      <c r="C58" s="88" t="s">
        <v>444</v>
      </c>
      <c r="D58" s="88"/>
      <c r="E58" s="88"/>
      <c r="F58" s="88"/>
      <c r="G58" s="88"/>
      <c r="H58" s="89"/>
    </row>
    <row r="59" ht="46" customHeight="1" spans="1:8">
      <c r="A59" s="84" t="s">
        <v>166</v>
      </c>
      <c r="B59" s="85"/>
      <c r="C59" s="86" t="s">
        <v>445</v>
      </c>
      <c r="D59" s="86"/>
      <c r="E59" s="86"/>
      <c r="F59" s="86"/>
      <c r="G59" s="86"/>
      <c r="H59" s="87"/>
    </row>
    <row r="60" ht="48" customHeight="1" spans="1:8">
      <c r="A60" s="84" t="s">
        <v>168</v>
      </c>
      <c r="B60" s="85"/>
      <c r="C60" s="90" t="s">
        <v>446</v>
      </c>
      <c r="D60" s="90"/>
      <c r="E60" s="90"/>
      <c r="F60" s="90"/>
      <c r="G60" s="90"/>
      <c r="H60" s="91"/>
    </row>
    <row r="61" ht="46" customHeight="1" spans="1:8">
      <c r="A61" s="84" t="s">
        <v>170</v>
      </c>
      <c r="B61" s="85"/>
      <c r="C61" s="86" t="s">
        <v>447</v>
      </c>
      <c r="D61" s="86"/>
      <c r="E61" s="86"/>
      <c r="F61" s="86"/>
      <c r="G61" s="86"/>
      <c r="H61" s="87"/>
    </row>
    <row r="62" ht="44" customHeight="1" spans="1:8">
      <c r="A62" s="84" t="s">
        <v>172</v>
      </c>
      <c r="B62" s="85"/>
      <c r="C62" s="86" t="s">
        <v>113</v>
      </c>
      <c r="D62" s="86"/>
      <c r="E62" s="86"/>
      <c r="F62" s="86"/>
      <c r="G62" s="86"/>
      <c r="H62" s="87"/>
    </row>
    <row r="63" ht="48" customHeight="1" spans="1:8">
      <c r="A63" s="84" t="s">
        <v>173</v>
      </c>
      <c r="B63" s="85"/>
      <c r="C63" s="92" t="s">
        <v>448</v>
      </c>
      <c r="D63" s="92"/>
      <c r="E63" s="92"/>
      <c r="F63" s="92"/>
      <c r="G63" s="92"/>
      <c r="H63" s="93"/>
    </row>
    <row r="64" ht="38" customHeight="1" spans="1:8">
      <c r="A64" s="94" t="s">
        <v>175</v>
      </c>
      <c r="B64" s="95"/>
      <c r="C64" s="96" t="s">
        <v>442</v>
      </c>
      <c r="D64" s="96"/>
      <c r="E64" s="97" t="s">
        <v>449</v>
      </c>
      <c r="F64" s="97"/>
      <c r="G64" s="97"/>
      <c r="H64" s="98"/>
    </row>
    <row r="65" ht="14" customHeight="1" spans="1:8">
      <c r="A65" s="3"/>
      <c r="B65" s="3"/>
      <c r="C65" s="3"/>
      <c r="D65" s="3"/>
      <c r="E65" s="3"/>
      <c r="F65" s="3"/>
      <c r="G65" s="3"/>
      <c r="H65" s="3"/>
    </row>
    <row r="66" ht="32" customHeight="1" spans="1:8">
      <c r="A66" s="78" t="s">
        <v>450</v>
      </c>
      <c r="B66" s="79"/>
      <c r="C66" s="79"/>
      <c r="D66" s="79"/>
      <c r="E66" s="79"/>
      <c r="F66" s="79"/>
      <c r="G66" s="79"/>
      <c r="H66" s="80"/>
    </row>
    <row r="67" spans="1:8">
      <c r="A67" s="81" t="s">
        <v>441</v>
      </c>
      <c r="B67" s="82"/>
      <c r="C67" s="82" t="s">
        <v>333</v>
      </c>
      <c r="D67" s="82"/>
      <c r="E67" s="82" t="s">
        <v>159</v>
      </c>
      <c r="F67" s="82"/>
      <c r="G67" s="82" t="s">
        <v>451</v>
      </c>
      <c r="H67" s="83"/>
    </row>
    <row r="68" ht="38" customHeight="1" spans="1:8">
      <c r="A68" s="84" t="s">
        <v>161</v>
      </c>
      <c r="B68" s="85"/>
      <c r="C68" s="86" t="s">
        <v>115</v>
      </c>
      <c r="D68" s="86"/>
      <c r="E68" s="86"/>
      <c r="F68" s="86"/>
      <c r="G68" s="86"/>
      <c r="H68" s="87"/>
    </row>
    <row r="69" ht="62" customHeight="1" spans="1:8">
      <c r="A69" s="84" t="s">
        <v>162</v>
      </c>
      <c r="B69" s="85"/>
      <c r="C69" s="86" t="s">
        <v>452</v>
      </c>
      <c r="D69" s="86"/>
      <c r="E69" s="86"/>
      <c r="F69" s="86"/>
      <c r="G69" s="86"/>
      <c r="H69" s="87"/>
    </row>
    <row r="70" ht="56" customHeight="1" spans="1:8">
      <c r="A70" s="84" t="s">
        <v>164</v>
      </c>
      <c r="B70" s="85"/>
      <c r="C70" s="88" t="s">
        <v>453</v>
      </c>
      <c r="D70" s="88"/>
      <c r="E70" s="88"/>
      <c r="F70" s="88"/>
      <c r="G70" s="88"/>
      <c r="H70" s="89"/>
    </row>
    <row r="71" ht="46" customHeight="1" spans="1:8">
      <c r="A71" s="84" t="s">
        <v>166</v>
      </c>
      <c r="B71" s="85"/>
      <c r="C71" s="86" t="s">
        <v>454</v>
      </c>
      <c r="D71" s="86"/>
      <c r="E71" s="86"/>
      <c r="F71" s="86"/>
      <c r="G71" s="86"/>
      <c r="H71" s="87"/>
    </row>
    <row r="72" ht="48" customHeight="1" spans="1:8">
      <c r="A72" s="84" t="s">
        <v>168</v>
      </c>
      <c r="B72" s="85"/>
      <c r="C72" s="90" t="s">
        <v>455</v>
      </c>
      <c r="D72" s="90"/>
      <c r="E72" s="90"/>
      <c r="F72" s="90"/>
      <c r="G72" s="90"/>
      <c r="H72" s="91"/>
    </row>
    <row r="73" ht="46" customHeight="1" spans="1:8">
      <c r="A73" s="84" t="s">
        <v>170</v>
      </c>
      <c r="B73" s="85"/>
      <c r="C73" s="86" t="s">
        <v>456</v>
      </c>
      <c r="D73" s="86"/>
      <c r="E73" s="86"/>
      <c r="F73" s="86"/>
      <c r="G73" s="86"/>
      <c r="H73" s="87"/>
    </row>
    <row r="74" ht="44" customHeight="1" spans="1:8">
      <c r="A74" s="84" t="s">
        <v>172</v>
      </c>
      <c r="B74" s="85"/>
      <c r="C74" s="86" t="s">
        <v>116</v>
      </c>
      <c r="D74" s="86"/>
      <c r="E74" s="86"/>
      <c r="F74" s="86"/>
      <c r="G74" s="86"/>
      <c r="H74" s="87"/>
    </row>
    <row r="75" ht="48" customHeight="1" spans="1:8">
      <c r="A75" s="84" t="s">
        <v>173</v>
      </c>
      <c r="B75" s="85"/>
      <c r="C75" s="92" t="s">
        <v>457</v>
      </c>
      <c r="D75" s="92"/>
      <c r="E75" s="92"/>
      <c r="F75" s="92"/>
      <c r="G75" s="92"/>
      <c r="H75" s="93"/>
    </row>
    <row r="76" ht="38" customHeight="1" spans="1:8">
      <c r="A76" s="94" t="s">
        <v>175</v>
      </c>
      <c r="B76" s="95"/>
      <c r="C76" s="96" t="s">
        <v>451</v>
      </c>
      <c r="D76" s="96"/>
      <c r="E76" s="97" t="s">
        <v>458</v>
      </c>
      <c r="F76" s="97"/>
      <c r="G76" s="97"/>
      <c r="H76" s="98"/>
    </row>
    <row r="77" ht="14" customHeight="1" spans="1:8">
      <c r="A77" s="3"/>
      <c r="B77" s="3"/>
      <c r="C77" s="3"/>
      <c r="D77" s="3"/>
      <c r="E77" s="3"/>
      <c r="F77" s="3"/>
      <c r="G77" s="3"/>
      <c r="H77" s="3"/>
    </row>
    <row r="78" ht="32" customHeight="1" spans="1:8">
      <c r="A78" s="78" t="s">
        <v>459</v>
      </c>
      <c r="B78" s="79"/>
      <c r="C78" s="79"/>
      <c r="D78" s="79"/>
      <c r="E78" s="79"/>
      <c r="F78" s="79"/>
      <c r="G78" s="79"/>
      <c r="H78" s="80"/>
    </row>
    <row r="79" spans="1:8">
      <c r="A79" s="81" t="s">
        <v>441</v>
      </c>
      <c r="B79" s="82"/>
      <c r="C79" s="82" t="s">
        <v>178</v>
      </c>
      <c r="D79" s="82"/>
      <c r="E79" s="82" t="s">
        <v>159</v>
      </c>
      <c r="F79" s="82"/>
      <c r="G79" s="82" t="s">
        <v>460</v>
      </c>
      <c r="H79" s="83"/>
    </row>
    <row r="80" ht="38" customHeight="1" spans="1:8">
      <c r="A80" s="84" t="s">
        <v>161</v>
      </c>
      <c r="B80" s="85"/>
      <c r="C80" s="86" t="s">
        <v>119</v>
      </c>
      <c r="D80" s="86"/>
      <c r="E80" s="86"/>
      <c r="F80" s="86"/>
      <c r="G80" s="86"/>
      <c r="H80" s="87"/>
    </row>
    <row r="81" ht="62" customHeight="1" spans="1:8">
      <c r="A81" s="84" t="s">
        <v>162</v>
      </c>
      <c r="B81" s="85"/>
      <c r="C81" s="86" t="s">
        <v>461</v>
      </c>
      <c r="D81" s="86"/>
      <c r="E81" s="86"/>
      <c r="F81" s="86"/>
      <c r="G81" s="86"/>
      <c r="H81" s="87"/>
    </row>
    <row r="82" ht="56" customHeight="1" spans="1:8">
      <c r="A82" s="84" t="s">
        <v>164</v>
      </c>
      <c r="B82" s="85"/>
      <c r="C82" s="88" t="s">
        <v>462</v>
      </c>
      <c r="D82" s="88"/>
      <c r="E82" s="88"/>
      <c r="F82" s="88"/>
      <c r="G82" s="88"/>
      <c r="H82" s="89"/>
    </row>
    <row r="83" ht="46" customHeight="1" spans="1:8">
      <c r="A83" s="84" t="s">
        <v>166</v>
      </c>
      <c r="B83" s="85"/>
      <c r="C83" s="86" t="s">
        <v>463</v>
      </c>
      <c r="D83" s="86"/>
      <c r="E83" s="86"/>
      <c r="F83" s="86"/>
      <c r="G83" s="86"/>
      <c r="H83" s="87"/>
    </row>
    <row r="84" ht="48" customHeight="1" spans="1:8">
      <c r="A84" s="84" t="s">
        <v>168</v>
      </c>
      <c r="B84" s="85"/>
      <c r="C84" s="90" t="s">
        <v>464</v>
      </c>
      <c r="D84" s="90"/>
      <c r="E84" s="90"/>
      <c r="F84" s="90"/>
      <c r="G84" s="90"/>
      <c r="H84" s="91"/>
    </row>
    <row r="85" ht="46" customHeight="1" spans="1:8">
      <c r="A85" s="84" t="s">
        <v>170</v>
      </c>
      <c r="B85" s="85"/>
      <c r="C85" s="86" t="s">
        <v>465</v>
      </c>
      <c r="D85" s="86"/>
      <c r="E85" s="86"/>
      <c r="F85" s="86"/>
      <c r="G85" s="86"/>
      <c r="H85" s="87"/>
    </row>
    <row r="86" ht="44" customHeight="1" spans="1:8">
      <c r="A86" s="84" t="s">
        <v>172</v>
      </c>
      <c r="B86" s="85"/>
      <c r="C86" s="86" t="s">
        <v>120</v>
      </c>
      <c r="D86" s="86"/>
      <c r="E86" s="86"/>
      <c r="F86" s="86"/>
      <c r="G86" s="86"/>
      <c r="H86" s="87"/>
    </row>
    <row r="87" ht="48" customHeight="1" spans="1:8">
      <c r="A87" s="84" t="s">
        <v>173</v>
      </c>
      <c r="B87" s="85"/>
      <c r="C87" s="92" t="s">
        <v>466</v>
      </c>
      <c r="D87" s="92"/>
      <c r="E87" s="92"/>
      <c r="F87" s="92"/>
      <c r="G87" s="92"/>
      <c r="H87" s="93"/>
    </row>
    <row r="88" ht="38" customHeight="1" spans="1:8">
      <c r="A88" s="94" t="s">
        <v>175</v>
      </c>
      <c r="B88" s="95"/>
      <c r="C88" s="96" t="s">
        <v>460</v>
      </c>
      <c r="D88" s="96"/>
      <c r="E88" s="97" t="s">
        <v>467</v>
      </c>
      <c r="F88" s="97"/>
      <c r="G88" s="97"/>
      <c r="H88" s="98"/>
    </row>
    <row r="89" ht="14" customHeight="1" spans="1:8">
      <c r="A89" s="3"/>
      <c r="B89" s="3"/>
      <c r="C89" s="3"/>
      <c r="D89" s="3"/>
      <c r="E89" s="3"/>
      <c r="F89" s="3"/>
      <c r="G89" s="3"/>
      <c r="H89" s="3"/>
    </row>
    <row r="90" ht="32" customHeight="1" spans="1:8">
      <c r="A90" s="78" t="s">
        <v>468</v>
      </c>
      <c r="B90" s="79"/>
      <c r="C90" s="79"/>
      <c r="D90" s="79"/>
      <c r="E90" s="79"/>
      <c r="F90" s="79"/>
      <c r="G90" s="79"/>
      <c r="H90" s="80"/>
    </row>
    <row r="91" spans="1:8">
      <c r="A91" s="81" t="s">
        <v>441</v>
      </c>
      <c r="B91" s="82"/>
      <c r="C91" s="82" t="s">
        <v>158</v>
      </c>
      <c r="D91" s="82"/>
      <c r="E91" s="82" t="s">
        <v>159</v>
      </c>
      <c r="F91" s="82"/>
      <c r="G91" s="82" t="s">
        <v>469</v>
      </c>
      <c r="H91" s="83"/>
    </row>
    <row r="92" ht="38" customHeight="1" spans="1:8">
      <c r="A92" s="84" t="s">
        <v>161</v>
      </c>
      <c r="B92" s="85"/>
      <c r="C92" s="86" t="s">
        <v>122</v>
      </c>
      <c r="D92" s="86"/>
      <c r="E92" s="86"/>
      <c r="F92" s="86"/>
      <c r="G92" s="86"/>
      <c r="H92" s="87"/>
    </row>
    <row r="93" ht="62" customHeight="1" spans="1:8">
      <c r="A93" s="84" t="s">
        <v>162</v>
      </c>
      <c r="B93" s="85"/>
      <c r="C93" s="86" t="s">
        <v>470</v>
      </c>
      <c r="D93" s="86"/>
      <c r="E93" s="86"/>
      <c r="F93" s="86"/>
      <c r="G93" s="86"/>
      <c r="H93" s="87"/>
    </row>
    <row r="94" ht="56" customHeight="1" spans="1:8">
      <c r="A94" s="84" t="s">
        <v>164</v>
      </c>
      <c r="B94" s="85"/>
      <c r="C94" s="88" t="s">
        <v>471</v>
      </c>
      <c r="D94" s="88"/>
      <c r="E94" s="88"/>
      <c r="F94" s="88"/>
      <c r="G94" s="88"/>
      <c r="H94" s="89"/>
    </row>
    <row r="95" ht="46" customHeight="1" spans="1:8">
      <c r="A95" s="84" t="s">
        <v>166</v>
      </c>
      <c r="B95" s="85"/>
      <c r="C95" s="86" t="s">
        <v>472</v>
      </c>
      <c r="D95" s="86"/>
      <c r="E95" s="86"/>
      <c r="F95" s="86"/>
      <c r="G95" s="86"/>
      <c r="H95" s="87"/>
    </row>
    <row r="96" ht="48" customHeight="1" spans="1:8">
      <c r="A96" s="84" t="s">
        <v>168</v>
      </c>
      <c r="B96" s="85"/>
      <c r="C96" s="90" t="s">
        <v>473</v>
      </c>
      <c r="D96" s="90"/>
      <c r="E96" s="90"/>
      <c r="F96" s="90"/>
      <c r="G96" s="90"/>
      <c r="H96" s="91"/>
    </row>
    <row r="97" ht="46" customHeight="1" spans="1:8">
      <c r="A97" s="84" t="s">
        <v>170</v>
      </c>
      <c r="B97" s="85"/>
      <c r="C97" s="86" t="s">
        <v>474</v>
      </c>
      <c r="D97" s="86"/>
      <c r="E97" s="86"/>
      <c r="F97" s="86"/>
      <c r="G97" s="86"/>
      <c r="H97" s="87"/>
    </row>
    <row r="98" ht="44" customHeight="1" spans="1:8">
      <c r="A98" s="84" t="s">
        <v>172</v>
      </c>
      <c r="B98" s="85"/>
      <c r="C98" s="86" t="s">
        <v>123</v>
      </c>
      <c r="D98" s="86"/>
      <c r="E98" s="86"/>
      <c r="F98" s="86"/>
      <c r="G98" s="86"/>
      <c r="H98" s="87"/>
    </row>
    <row r="99" ht="48" customHeight="1" spans="1:8">
      <c r="A99" s="84" t="s">
        <v>173</v>
      </c>
      <c r="B99" s="85"/>
      <c r="C99" s="92" t="s">
        <v>475</v>
      </c>
      <c r="D99" s="92"/>
      <c r="E99" s="92"/>
      <c r="F99" s="92"/>
      <c r="G99" s="92"/>
      <c r="H99" s="93"/>
    </row>
    <row r="100" ht="38" customHeight="1" spans="1:8">
      <c r="A100" s="94" t="s">
        <v>175</v>
      </c>
      <c r="B100" s="95"/>
      <c r="C100" s="96" t="s">
        <v>469</v>
      </c>
      <c r="D100" s="96"/>
      <c r="E100" s="97" t="s">
        <v>476</v>
      </c>
      <c r="F100" s="97"/>
      <c r="G100" s="97"/>
      <c r="H100" s="98"/>
    </row>
    <row r="101" ht="14" customHeight="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</sheetData>
  <mergeCells count="195">
    <mergeCell ref="A1:H1"/>
    <mergeCell ref="A2:H2"/>
    <mergeCell ref="A4:H4"/>
    <mergeCell ref="A6:H6"/>
    <mergeCell ref="A7:B7"/>
    <mergeCell ref="C7:D7"/>
    <mergeCell ref="E7:F7"/>
    <mergeCell ref="G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D16"/>
    <mergeCell ref="E16:H16"/>
    <mergeCell ref="A18:H18"/>
    <mergeCell ref="A19:B19"/>
    <mergeCell ref="C19:D19"/>
    <mergeCell ref="E19:F19"/>
    <mergeCell ref="G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D28"/>
    <mergeCell ref="E28:H28"/>
    <mergeCell ref="A30:H30"/>
    <mergeCell ref="A31:B31"/>
    <mergeCell ref="C31:D31"/>
    <mergeCell ref="E31:F31"/>
    <mergeCell ref="G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D40"/>
    <mergeCell ref="E40:H40"/>
    <mergeCell ref="A42:H42"/>
    <mergeCell ref="A43:B43"/>
    <mergeCell ref="C43:D43"/>
    <mergeCell ref="E43:F43"/>
    <mergeCell ref="G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D52"/>
    <mergeCell ref="E52:H52"/>
    <mergeCell ref="A54:H54"/>
    <mergeCell ref="A55:B55"/>
    <mergeCell ref="C55:D55"/>
    <mergeCell ref="E55:F55"/>
    <mergeCell ref="G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A64:B64"/>
    <mergeCell ref="C64:D64"/>
    <mergeCell ref="E64:H64"/>
    <mergeCell ref="A66:H66"/>
    <mergeCell ref="A67:B67"/>
    <mergeCell ref="C67:D67"/>
    <mergeCell ref="E67:F67"/>
    <mergeCell ref="G67:H67"/>
    <mergeCell ref="A68:B68"/>
    <mergeCell ref="C68:H68"/>
    <mergeCell ref="A69:B69"/>
    <mergeCell ref="C69:H69"/>
    <mergeCell ref="A70:B70"/>
    <mergeCell ref="C70:H70"/>
    <mergeCell ref="A71:B71"/>
    <mergeCell ref="C71:H71"/>
    <mergeCell ref="A72:B72"/>
    <mergeCell ref="C72:H72"/>
    <mergeCell ref="A73:B73"/>
    <mergeCell ref="C73:H73"/>
    <mergeCell ref="A74:B74"/>
    <mergeCell ref="C74:H74"/>
    <mergeCell ref="A75:B75"/>
    <mergeCell ref="C75:H75"/>
    <mergeCell ref="A76:B76"/>
    <mergeCell ref="C76:D76"/>
    <mergeCell ref="E76:H76"/>
    <mergeCell ref="A78:H78"/>
    <mergeCell ref="A79:B79"/>
    <mergeCell ref="C79:D79"/>
    <mergeCell ref="E79:F79"/>
    <mergeCell ref="G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B86"/>
    <mergeCell ref="C86:H86"/>
    <mergeCell ref="A87:B87"/>
    <mergeCell ref="C87:H87"/>
    <mergeCell ref="A88:B88"/>
    <mergeCell ref="C88:D88"/>
    <mergeCell ref="E88:H88"/>
    <mergeCell ref="A90:H90"/>
    <mergeCell ref="A91:B91"/>
    <mergeCell ref="C91:D91"/>
    <mergeCell ref="E91:F91"/>
    <mergeCell ref="G91:H91"/>
    <mergeCell ref="A92:B92"/>
    <mergeCell ref="C92:H92"/>
    <mergeCell ref="A93:B93"/>
    <mergeCell ref="C93:H93"/>
    <mergeCell ref="A94:B94"/>
    <mergeCell ref="C94:H94"/>
    <mergeCell ref="A95:B95"/>
    <mergeCell ref="C95:H95"/>
    <mergeCell ref="A96:B96"/>
    <mergeCell ref="C96:H96"/>
    <mergeCell ref="A97:B97"/>
    <mergeCell ref="C97:H97"/>
    <mergeCell ref="A98:B98"/>
    <mergeCell ref="C98:H98"/>
    <mergeCell ref="A99:B99"/>
    <mergeCell ref="C99:H99"/>
    <mergeCell ref="A100:B100"/>
    <mergeCell ref="C100:D100"/>
    <mergeCell ref="E100:H10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workbookViewId="0">
      <selection activeCell="A1" sqref="A1:H1"/>
    </sheetView>
  </sheetViews>
  <sheetFormatPr defaultColWidth="9" defaultRowHeight="16.8" outlineLevelCol="7"/>
  <cols>
    <col min="1" max="1" width="14" customWidth="1"/>
    <col min="2" max="2" width="21" customWidth="1"/>
    <col min="3" max="3" width="43" customWidth="1"/>
    <col min="4" max="4" width="20" customWidth="1"/>
    <col min="5" max="5" width="26" customWidth="1"/>
    <col min="6" max="6" width="17" customWidth="1"/>
    <col min="7" max="7" width="12" customWidth="1"/>
    <col min="8" max="8" width="34" customWidth="1"/>
  </cols>
  <sheetData>
    <row r="1" ht="40" customHeight="1" spans="1:8">
      <c r="A1" s="1" t="s">
        <v>477</v>
      </c>
      <c r="B1" s="1"/>
      <c r="C1" s="1"/>
      <c r="D1" s="1"/>
      <c r="E1" s="1"/>
      <c r="F1" s="1"/>
      <c r="G1" s="1"/>
      <c r="H1" s="1"/>
    </row>
    <row r="2" ht="30" customHeight="1" spans="1:8">
      <c r="A2" s="55" t="s">
        <v>478</v>
      </c>
      <c r="B2" s="55"/>
      <c r="C2" s="55"/>
      <c r="D2" s="55"/>
      <c r="E2" s="55"/>
      <c r="F2" s="55"/>
      <c r="G2" s="55"/>
      <c r="H2" s="55"/>
    </row>
    <row r="3" ht="17.55" spans="1:8">
      <c r="A3" s="3"/>
      <c r="B3" s="3"/>
      <c r="C3" s="3"/>
      <c r="D3" s="3"/>
      <c r="E3" s="3"/>
      <c r="F3" s="3"/>
      <c r="G3" s="3"/>
      <c r="H3" s="3"/>
    </row>
    <row r="4" spans="1:8">
      <c r="A4" s="56" t="s">
        <v>479</v>
      </c>
      <c r="B4" s="57"/>
      <c r="C4" s="58" t="s">
        <v>480</v>
      </c>
      <c r="D4" s="59"/>
      <c r="E4" s="60" t="s">
        <v>481</v>
      </c>
      <c r="F4" s="61"/>
      <c r="G4" s="26" t="s">
        <v>482</v>
      </c>
      <c r="H4" s="28"/>
    </row>
    <row r="5" spans="1:8">
      <c r="A5" s="62">
        <f>COUNTA(A9:A44)</f>
        <v>36</v>
      </c>
      <c r="B5" s="63"/>
      <c r="C5" s="64">
        <f>COUNTIF(F9:F44,"Đạt")</f>
        <v>0</v>
      </c>
      <c r="D5" s="65"/>
      <c r="E5" s="66">
        <f>COUNTIF(F9:F44,"Đang bổ sung")</f>
        <v>0</v>
      </c>
      <c r="F5" s="67"/>
      <c r="G5" s="68">
        <f>IFERROR(C5/A5,0)</f>
        <v>0</v>
      </c>
      <c r="H5" s="34"/>
    </row>
    <row r="6" spans="1:8">
      <c r="A6" s="69"/>
      <c r="B6" s="70"/>
      <c r="C6" s="71"/>
      <c r="D6" s="72"/>
      <c r="E6" s="73"/>
      <c r="F6" s="74"/>
      <c r="G6" s="38"/>
      <c r="H6" s="40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9" t="s">
        <v>483</v>
      </c>
      <c r="B8" s="9" t="s">
        <v>484</v>
      </c>
      <c r="C8" s="9" t="s">
        <v>485</v>
      </c>
      <c r="D8" s="9" t="s">
        <v>486</v>
      </c>
      <c r="E8" s="9" t="s">
        <v>487</v>
      </c>
      <c r="F8" s="9" t="s">
        <v>37</v>
      </c>
      <c r="G8" s="9" t="s">
        <v>488</v>
      </c>
      <c r="H8" s="9" t="s">
        <v>489</v>
      </c>
    </row>
    <row r="9" ht="44" customHeight="1" spans="1:8">
      <c r="A9" s="10" t="s">
        <v>490</v>
      </c>
      <c r="B9" s="10" t="s">
        <v>491</v>
      </c>
      <c r="C9" s="10" t="s">
        <v>492</v>
      </c>
      <c r="D9" s="10" t="s">
        <v>493</v>
      </c>
      <c r="E9" s="10" t="s">
        <v>494</v>
      </c>
      <c r="F9" s="46" t="s">
        <v>495</v>
      </c>
      <c r="G9" s="46"/>
      <c r="H9" s="46" t="s">
        <v>48</v>
      </c>
    </row>
    <row r="10" ht="44" customHeight="1" spans="1:8">
      <c r="A10" s="14" t="s">
        <v>490</v>
      </c>
      <c r="B10" s="14" t="s">
        <v>496</v>
      </c>
      <c r="C10" s="14" t="s">
        <v>497</v>
      </c>
      <c r="D10" s="14" t="s">
        <v>493</v>
      </c>
      <c r="E10" s="14" t="s">
        <v>498</v>
      </c>
      <c r="F10" s="49" t="s">
        <v>495</v>
      </c>
      <c r="G10" s="49"/>
      <c r="H10" s="49" t="s">
        <v>48</v>
      </c>
    </row>
    <row r="11" ht="44" customHeight="1" spans="1:8">
      <c r="A11" s="14" t="s">
        <v>499</v>
      </c>
      <c r="B11" s="14" t="s">
        <v>500</v>
      </c>
      <c r="C11" s="14" t="s">
        <v>501</v>
      </c>
      <c r="D11" s="14" t="s">
        <v>502</v>
      </c>
      <c r="E11" s="14" t="s">
        <v>503</v>
      </c>
      <c r="F11" s="49" t="s">
        <v>495</v>
      </c>
      <c r="G11" s="49"/>
      <c r="H11" s="49" t="s">
        <v>48</v>
      </c>
    </row>
    <row r="12" ht="44" customHeight="1" spans="1:8">
      <c r="A12" s="14" t="s">
        <v>499</v>
      </c>
      <c r="B12" s="14" t="s">
        <v>504</v>
      </c>
      <c r="C12" s="14" t="s">
        <v>505</v>
      </c>
      <c r="D12" s="14" t="s">
        <v>506</v>
      </c>
      <c r="E12" s="14" t="s">
        <v>507</v>
      </c>
      <c r="F12" s="49" t="s">
        <v>495</v>
      </c>
      <c r="G12" s="49"/>
      <c r="H12" s="49" t="s">
        <v>48</v>
      </c>
    </row>
    <row r="13" ht="44" customHeight="1" spans="1:8">
      <c r="A13" s="14" t="s">
        <v>499</v>
      </c>
      <c r="B13" s="14" t="s">
        <v>508</v>
      </c>
      <c r="C13" s="14" t="s">
        <v>509</v>
      </c>
      <c r="D13" s="14" t="s">
        <v>502</v>
      </c>
      <c r="E13" s="14" t="s">
        <v>510</v>
      </c>
      <c r="F13" s="49" t="s">
        <v>495</v>
      </c>
      <c r="G13" s="49"/>
      <c r="H13" s="49" t="s">
        <v>48</v>
      </c>
    </row>
    <row r="14" ht="44" customHeight="1" spans="1:8">
      <c r="A14" s="14" t="s">
        <v>499</v>
      </c>
      <c r="B14" s="14" t="s">
        <v>511</v>
      </c>
      <c r="C14" s="14" t="s">
        <v>512</v>
      </c>
      <c r="D14" s="14" t="s">
        <v>493</v>
      </c>
      <c r="E14" s="14" t="s">
        <v>513</v>
      </c>
      <c r="F14" s="49" t="s">
        <v>495</v>
      </c>
      <c r="G14" s="49"/>
      <c r="H14" s="49" t="s">
        <v>48</v>
      </c>
    </row>
    <row r="15" ht="44" customHeight="1" spans="1:8">
      <c r="A15" s="14" t="s">
        <v>499</v>
      </c>
      <c r="B15" s="14" t="s">
        <v>514</v>
      </c>
      <c r="C15" s="14" t="s">
        <v>515</v>
      </c>
      <c r="D15" s="14" t="s">
        <v>493</v>
      </c>
      <c r="E15" s="14" t="s">
        <v>516</v>
      </c>
      <c r="F15" s="49" t="s">
        <v>495</v>
      </c>
      <c r="G15" s="49"/>
      <c r="H15" s="49" t="s">
        <v>48</v>
      </c>
    </row>
    <row r="16" ht="44" customHeight="1" spans="1:8">
      <c r="A16" s="14" t="s">
        <v>499</v>
      </c>
      <c r="B16" s="14" t="s">
        <v>517</v>
      </c>
      <c r="C16" s="14" t="s">
        <v>518</v>
      </c>
      <c r="D16" s="14" t="s">
        <v>519</v>
      </c>
      <c r="E16" s="14" t="s">
        <v>520</v>
      </c>
      <c r="F16" s="49" t="s">
        <v>495</v>
      </c>
      <c r="G16" s="49"/>
      <c r="H16" s="49" t="s">
        <v>48</v>
      </c>
    </row>
    <row r="17" ht="44" customHeight="1" spans="1:8">
      <c r="A17" s="14" t="s">
        <v>521</v>
      </c>
      <c r="B17" s="14" t="s">
        <v>522</v>
      </c>
      <c r="C17" s="14" t="s">
        <v>523</v>
      </c>
      <c r="D17" s="14" t="s">
        <v>493</v>
      </c>
      <c r="E17" s="14" t="s">
        <v>524</v>
      </c>
      <c r="F17" s="49" t="s">
        <v>495</v>
      </c>
      <c r="G17" s="49"/>
      <c r="H17" s="49" t="s">
        <v>48</v>
      </c>
    </row>
    <row r="18" ht="44" customHeight="1" spans="1:8">
      <c r="A18" s="14" t="s">
        <v>521</v>
      </c>
      <c r="B18" s="14" t="s">
        <v>525</v>
      </c>
      <c r="C18" s="14" t="s">
        <v>526</v>
      </c>
      <c r="D18" s="14" t="s">
        <v>493</v>
      </c>
      <c r="E18" s="14" t="s">
        <v>527</v>
      </c>
      <c r="F18" s="49" t="s">
        <v>495</v>
      </c>
      <c r="G18" s="49"/>
      <c r="H18" s="49" t="s">
        <v>48</v>
      </c>
    </row>
    <row r="19" ht="44" customHeight="1" spans="1:8">
      <c r="A19" s="14" t="s">
        <v>528</v>
      </c>
      <c r="B19" s="14" t="s">
        <v>529</v>
      </c>
      <c r="C19" s="14" t="s">
        <v>530</v>
      </c>
      <c r="D19" s="14" t="s">
        <v>493</v>
      </c>
      <c r="E19" s="14" t="s">
        <v>531</v>
      </c>
      <c r="F19" s="49" t="s">
        <v>495</v>
      </c>
      <c r="G19" s="49"/>
      <c r="H19" s="49" t="s">
        <v>48</v>
      </c>
    </row>
    <row r="20" ht="44" customHeight="1" spans="1:8">
      <c r="A20" s="14" t="s">
        <v>532</v>
      </c>
      <c r="B20" s="14" t="s">
        <v>533</v>
      </c>
      <c r="C20" s="14" t="s">
        <v>534</v>
      </c>
      <c r="D20" s="14" t="s">
        <v>535</v>
      </c>
      <c r="E20" s="14" t="s">
        <v>536</v>
      </c>
      <c r="F20" s="49" t="s">
        <v>495</v>
      </c>
      <c r="G20" s="49"/>
      <c r="H20" s="49" t="s">
        <v>48</v>
      </c>
    </row>
    <row r="21" ht="44" customHeight="1" spans="1:8">
      <c r="A21" s="14" t="s">
        <v>532</v>
      </c>
      <c r="B21" s="14" t="s">
        <v>537</v>
      </c>
      <c r="C21" s="14" t="s">
        <v>538</v>
      </c>
      <c r="D21" s="14" t="s">
        <v>493</v>
      </c>
      <c r="E21" s="14" t="s">
        <v>539</v>
      </c>
      <c r="F21" s="49" t="s">
        <v>495</v>
      </c>
      <c r="G21" s="49"/>
      <c r="H21" s="49" t="s">
        <v>48</v>
      </c>
    </row>
    <row r="22" ht="44" customHeight="1" spans="1:8">
      <c r="A22" s="14" t="s">
        <v>540</v>
      </c>
      <c r="B22" s="14" t="s">
        <v>541</v>
      </c>
      <c r="C22" s="14" t="s">
        <v>542</v>
      </c>
      <c r="D22" s="14" t="s">
        <v>493</v>
      </c>
      <c r="E22" s="14" t="s">
        <v>543</v>
      </c>
      <c r="F22" s="49" t="s">
        <v>495</v>
      </c>
      <c r="G22" s="49"/>
      <c r="H22" s="49" t="s">
        <v>48</v>
      </c>
    </row>
    <row r="23" ht="44" customHeight="1" spans="1:8">
      <c r="A23" s="14" t="s">
        <v>521</v>
      </c>
      <c r="B23" s="14" t="s">
        <v>544</v>
      </c>
      <c r="C23" s="14" t="s">
        <v>545</v>
      </c>
      <c r="D23" s="14" t="s">
        <v>493</v>
      </c>
      <c r="E23" s="14" t="s">
        <v>546</v>
      </c>
      <c r="F23" s="49" t="s">
        <v>495</v>
      </c>
      <c r="G23" s="49"/>
      <c r="H23" s="49" t="s">
        <v>48</v>
      </c>
    </row>
    <row r="24" ht="44" customHeight="1" spans="1:8">
      <c r="A24" s="14" t="s">
        <v>499</v>
      </c>
      <c r="B24" s="14" t="s">
        <v>547</v>
      </c>
      <c r="C24" s="14" t="s">
        <v>548</v>
      </c>
      <c r="D24" s="14" t="s">
        <v>535</v>
      </c>
      <c r="E24" s="14" t="s">
        <v>549</v>
      </c>
      <c r="F24" s="49" t="s">
        <v>495</v>
      </c>
      <c r="G24" s="49"/>
      <c r="H24" s="49" t="s">
        <v>48</v>
      </c>
    </row>
    <row r="25" ht="44" customHeight="1" spans="1:8">
      <c r="A25" s="14" t="s">
        <v>550</v>
      </c>
      <c r="B25" s="14" t="s">
        <v>551</v>
      </c>
      <c r="C25" s="14" t="s">
        <v>552</v>
      </c>
      <c r="D25" s="14" t="s">
        <v>493</v>
      </c>
      <c r="E25" s="14" t="s">
        <v>553</v>
      </c>
      <c r="F25" s="49" t="s">
        <v>495</v>
      </c>
      <c r="G25" s="49"/>
      <c r="H25" s="49" t="s">
        <v>48</v>
      </c>
    </row>
    <row r="26" ht="44" customHeight="1" spans="1:8">
      <c r="A26" s="14" t="s">
        <v>550</v>
      </c>
      <c r="B26" s="14" t="s">
        <v>554</v>
      </c>
      <c r="C26" s="14" t="s">
        <v>555</v>
      </c>
      <c r="D26" s="14" t="s">
        <v>493</v>
      </c>
      <c r="E26" s="14" t="s">
        <v>556</v>
      </c>
      <c r="F26" s="49" t="s">
        <v>495</v>
      </c>
      <c r="G26" s="49"/>
      <c r="H26" s="49" t="s">
        <v>48</v>
      </c>
    </row>
    <row r="27" ht="44" customHeight="1" spans="1:8">
      <c r="A27" s="14" t="s">
        <v>550</v>
      </c>
      <c r="B27" s="14" t="s">
        <v>557</v>
      </c>
      <c r="C27" s="14" t="s">
        <v>558</v>
      </c>
      <c r="D27" s="14" t="s">
        <v>493</v>
      </c>
      <c r="E27" s="14" t="s">
        <v>559</v>
      </c>
      <c r="F27" s="49" t="s">
        <v>495</v>
      </c>
      <c r="G27" s="49"/>
      <c r="H27" s="49" t="s">
        <v>48</v>
      </c>
    </row>
    <row r="28" ht="44" customHeight="1" spans="1:8">
      <c r="A28" s="14" t="s">
        <v>550</v>
      </c>
      <c r="B28" s="14" t="s">
        <v>560</v>
      </c>
      <c r="C28" s="14" t="s">
        <v>561</v>
      </c>
      <c r="D28" s="14" t="s">
        <v>502</v>
      </c>
      <c r="E28" s="14" t="s">
        <v>562</v>
      </c>
      <c r="F28" s="49" t="s">
        <v>495</v>
      </c>
      <c r="G28" s="49"/>
      <c r="H28" s="49" t="s">
        <v>48</v>
      </c>
    </row>
    <row r="29" ht="44" customHeight="1" spans="1:8">
      <c r="A29" s="14" t="s">
        <v>550</v>
      </c>
      <c r="B29" s="14" t="s">
        <v>563</v>
      </c>
      <c r="C29" s="14" t="s">
        <v>564</v>
      </c>
      <c r="D29" s="14" t="s">
        <v>493</v>
      </c>
      <c r="E29" s="14" t="s">
        <v>565</v>
      </c>
      <c r="F29" s="49" t="s">
        <v>495</v>
      </c>
      <c r="G29" s="49"/>
      <c r="H29" s="49" t="s">
        <v>48</v>
      </c>
    </row>
    <row r="30" ht="44" customHeight="1" spans="1:8">
      <c r="A30" s="14" t="s">
        <v>550</v>
      </c>
      <c r="B30" s="14" t="s">
        <v>566</v>
      </c>
      <c r="C30" s="14" t="s">
        <v>567</v>
      </c>
      <c r="D30" s="14" t="s">
        <v>502</v>
      </c>
      <c r="E30" s="14" t="s">
        <v>568</v>
      </c>
      <c r="F30" s="49" t="s">
        <v>495</v>
      </c>
      <c r="G30" s="49"/>
      <c r="H30" s="49" t="s">
        <v>48</v>
      </c>
    </row>
    <row r="31" ht="44" customHeight="1" spans="1:8">
      <c r="A31" s="14" t="s">
        <v>550</v>
      </c>
      <c r="B31" s="14" t="s">
        <v>569</v>
      </c>
      <c r="C31" s="14" t="s">
        <v>570</v>
      </c>
      <c r="D31" s="14" t="s">
        <v>493</v>
      </c>
      <c r="E31" s="14" t="s">
        <v>571</v>
      </c>
      <c r="F31" s="49" t="s">
        <v>495</v>
      </c>
      <c r="G31" s="49"/>
      <c r="H31" s="49" t="s">
        <v>48</v>
      </c>
    </row>
    <row r="32" ht="44" customHeight="1" spans="1:8">
      <c r="A32" s="14" t="s">
        <v>550</v>
      </c>
      <c r="B32" s="14" t="s">
        <v>572</v>
      </c>
      <c r="C32" s="14" t="s">
        <v>573</v>
      </c>
      <c r="D32" s="14" t="s">
        <v>493</v>
      </c>
      <c r="E32" s="14" t="s">
        <v>574</v>
      </c>
      <c r="F32" s="49" t="s">
        <v>495</v>
      </c>
      <c r="G32" s="49"/>
      <c r="H32" s="49" t="s">
        <v>48</v>
      </c>
    </row>
    <row r="33" ht="44" customHeight="1" spans="1:8">
      <c r="A33" s="14" t="s">
        <v>550</v>
      </c>
      <c r="B33" s="14" t="s">
        <v>575</v>
      </c>
      <c r="C33" s="14" t="s">
        <v>576</v>
      </c>
      <c r="D33" s="14" t="s">
        <v>493</v>
      </c>
      <c r="E33" s="14" t="s">
        <v>577</v>
      </c>
      <c r="F33" s="49" t="s">
        <v>495</v>
      </c>
      <c r="G33" s="49"/>
      <c r="H33" s="49" t="s">
        <v>48</v>
      </c>
    </row>
    <row r="34" ht="44" customHeight="1" spans="1:8">
      <c r="A34" s="14" t="s">
        <v>578</v>
      </c>
      <c r="B34" s="14" t="s">
        <v>579</v>
      </c>
      <c r="C34" s="14" t="s">
        <v>580</v>
      </c>
      <c r="D34" s="14" t="s">
        <v>493</v>
      </c>
      <c r="E34" s="14" t="s">
        <v>581</v>
      </c>
      <c r="F34" s="49" t="s">
        <v>495</v>
      </c>
      <c r="G34" s="49"/>
      <c r="H34" s="49" t="s">
        <v>48</v>
      </c>
    </row>
    <row r="35" ht="44" customHeight="1" spans="1:8">
      <c r="A35" s="14" t="s">
        <v>578</v>
      </c>
      <c r="B35" s="14" t="s">
        <v>582</v>
      </c>
      <c r="C35" s="14" t="s">
        <v>583</v>
      </c>
      <c r="D35" s="14" t="s">
        <v>493</v>
      </c>
      <c r="E35" s="14" t="s">
        <v>584</v>
      </c>
      <c r="F35" s="49" t="s">
        <v>495</v>
      </c>
      <c r="G35" s="49"/>
      <c r="H35" s="49" t="s">
        <v>48</v>
      </c>
    </row>
    <row r="36" ht="44" customHeight="1" spans="1:8">
      <c r="A36" s="14" t="s">
        <v>578</v>
      </c>
      <c r="B36" s="14" t="s">
        <v>585</v>
      </c>
      <c r="C36" s="14" t="s">
        <v>586</v>
      </c>
      <c r="D36" s="14" t="s">
        <v>506</v>
      </c>
      <c r="E36" s="14" t="s">
        <v>587</v>
      </c>
      <c r="F36" s="49" t="s">
        <v>495</v>
      </c>
      <c r="G36" s="49"/>
      <c r="H36" s="49" t="s">
        <v>48</v>
      </c>
    </row>
    <row r="37" ht="44" customHeight="1" spans="1:8">
      <c r="A37" s="14" t="s">
        <v>588</v>
      </c>
      <c r="B37" s="14" t="s">
        <v>589</v>
      </c>
      <c r="C37" s="14" t="s">
        <v>590</v>
      </c>
      <c r="D37" s="14" t="s">
        <v>591</v>
      </c>
      <c r="E37" s="14" t="s">
        <v>592</v>
      </c>
      <c r="F37" s="49" t="s">
        <v>495</v>
      </c>
      <c r="G37" s="49"/>
      <c r="H37" s="49" t="s">
        <v>48</v>
      </c>
    </row>
    <row r="38" ht="44" customHeight="1" spans="1:8">
      <c r="A38" s="14" t="s">
        <v>588</v>
      </c>
      <c r="B38" s="14" t="s">
        <v>593</v>
      </c>
      <c r="C38" s="14" t="s">
        <v>594</v>
      </c>
      <c r="D38" s="14" t="s">
        <v>493</v>
      </c>
      <c r="E38" s="14" t="s">
        <v>595</v>
      </c>
      <c r="F38" s="49" t="s">
        <v>495</v>
      </c>
      <c r="G38" s="49"/>
      <c r="H38" s="49" t="s">
        <v>48</v>
      </c>
    </row>
    <row r="39" ht="44" customHeight="1" spans="1:8">
      <c r="A39" s="14" t="s">
        <v>588</v>
      </c>
      <c r="B39" s="14" t="s">
        <v>596</v>
      </c>
      <c r="C39" s="14" t="s">
        <v>597</v>
      </c>
      <c r="D39" s="14" t="s">
        <v>598</v>
      </c>
      <c r="E39" s="14" t="s">
        <v>599</v>
      </c>
      <c r="F39" s="49" t="s">
        <v>495</v>
      </c>
      <c r="G39" s="49"/>
      <c r="H39" s="49" t="s">
        <v>48</v>
      </c>
    </row>
    <row r="40" ht="44" customHeight="1" spans="1:8">
      <c r="A40" s="14" t="s">
        <v>588</v>
      </c>
      <c r="B40" s="14" t="s">
        <v>600</v>
      </c>
      <c r="C40" s="14" t="s">
        <v>601</v>
      </c>
      <c r="D40" s="14" t="s">
        <v>602</v>
      </c>
      <c r="E40" s="14" t="s">
        <v>603</v>
      </c>
      <c r="F40" s="49" t="s">
        <v>495</v>
      </c>
      <c r="G40" s="49"/>
      <c r="H40" s="49" t="s">
        <v>48</v>
      </c>
    </row>
    <row r="41" ht="44" customHeight="1" spans="1:8">
      <c r="A41" s="14" t="s">
        <v>604</v>
      </c>
      <c r="B41" s="14" t="s">
        <v>605</v>
      </c>
      <c r="C41" s="14" t="s">
        <v>606</v>
      </c>
      <c r="D41" s="14" t="s">
        <v>493</v>
      </c>
      <c r="E41" s="14" t="s">
        <v>607</v>
      </c>
      <c r="F41" s="49" t="s">
        <v>495</v>
      </c>
      <c r="G41" s="49"/>
      <c r="H41" s="49" t="s">
        <v>48</v>
      </c>
    </row>
    <row r="42" ht="44" customHeight="1" spans="1:8">
      <c r="A42" s="14" t="s">
        <v>604</v>
      </c>
      <c r="B42" s="14" t="s">
        <v>520</v>
      </c>
      <c r="C42" s="14" t="s">
        <v>608</v>
      </c>
      <c r="D42" s="14" t="s">
        <v>493</v>
      </c>
      <c r="E42" s="14" t="s">
        <v>609</v>
      </c>
      <c r="F42" s="49" t="s">
        <v>495</v>
      </c>
      <c r="G42" s="49"/>
      <c r="H42" s="49" t="s">
        <v>48</v>
      </c>
    </row>
    <row r="43" ht="44" customHeight="1" spans="1:8">
      <c r="A43" s="14" t="s">
        <v>604</v>
      </c>
      <c r="B43" s="14" t="s">
        <v>610</v>
      </c>
      <c r="C43" s="14" t="s">
        <v>611</v>
      </c>
      <c r="D43" s="14" t="s">
        <v>493</v>
      </c>
      <c r="E43" s="14" t="s">
        <v>612</v>
      </c>
      <c r="F43" s="49" t="s">
        <v>495</v>
      </c>
      <c r="G43" s="49"/>
      <c r="H43" s="49" t="s">
        <v>48</v>
      </c>
    </row>
    <row r="44" ht="44" customHeight="1" spans="1:8">
      <c r="A44" s="18" t="s">
        <v>604</v>
      </c>
      <c r="B44" s="18" t="s">
        <v>613</v>
      </c>
      <c r="C44" s="18" t="s">
        <v>614</v>
      </c>
      <c r="D44" s="18" t="s">
        <v>615</v>
      </c>
      <c r="E44" s="18" t="s">
        <v>616</v>
      </c>
      <c r="F44" s="52" t="s">
        <v>495</v>
      </c>
      <c r="G44" s="52"/>
      <c r="H44" s="52" t="s">
        <v>48</v>
      </c>
    </row>
  </sheetData>
  <mergeCells count="10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</mergeCells>
  <conditionalFormatting sqref="F9:F44">
    <cfRule type="containsText" dxfId="0" priority="1" operator="between" text="Đạt">
      <formula>NOT(ISERROR(SEARCH("Đạt",F9)))</formula>
    </cfRule>
    <cfRule type="containsText" dxfId="2" priority="2" operator="between" text="Đang bổ sung">
      <formula>NOT(ISERROR(SEARCH("Đang bổ sung",F9)))</formula>
    </cfRule>
  </conditionalFormatting>
  <conditionalFormatting sqref="G9:G44">
    <cfRule type="dataBar" priority="3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{73dbf20f-c1ad-4015-8a18-b21482f91c6e}</x14:id>
        </ext>
      </extLst>
    </cfRule>
  </conditionalFormatting>
  <dataValidations count="2">
    <dataValidation type="list" sqref="F9:F44">
      <formula1>"Chưa đánh giá,Đang bổ sung,Đạt"</formula1>
    </dataValidation>
    <dataValidation type="whole" operator="between" sqref="G9:G44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dbf20f-c1ad-4015-8a18-b21482f91c6e}">
            <x14:dataBar minLength="10" maxLength="90" gradient="0" negativeBarColorSameAsPositive="1">
              <x14:cfvo type="min"/>
              <x14:cfvo type="max"/>
              <x14:axisColor indexed="65"/>
            </x14:dataBar>
          </x14:cfRule>
          <xm:sqref>G9:G44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opLeftCell="A14" workbookViewId="0">
      <selection activeCell="B22" sqref="B22"/>
    </sheetView>
  </sheetViews>
  <sheetFormatPr defaultColWidth="9" defaultRowHeight="16.8" outlineLevelCol="6"/>
  <cols>
    <col min="1" max="1" width="24" customWidth="1"/>
    <col min="2" max="2" width="11" customWidth="1"/>
    <col min="3" max="4" width="38" customWidth="1"/>
    <col min="5" max="5" width="11" customWidth="1"/>
    <col min="6" max="6" width="38" customWidth="1"/>
    <col min="7" max="7" width="12" customWidth="1"/>
  </cols>
  <sheetData>
    <row r="1" ht="40" customHeight="1" spans="1:7">
      <c r="A1" s="1" t="s">
        <v>617</v>
      </c>
      <c r="B1" s="1"/>
      <c r="C1" s="1"/>
      <c r="D1" s="1"/>
      <c r="E1" s="1"/>
      <c r="F1" s="1"/>
      <c r="G1" s="1"/>
    </row>
    <row r="2" ht="30" customHeight="1" spans="1:7">
      <c r="A2" s="22" t="s">
        <v>618</v>
      </c>
      <c r="B2" s="22"/>
      <c r="C2" s="22"/>
      <c r="D2" s="22"/>
      <c r="E2" s="22"/>
      <c r="F2" s="22"/>
      <c r="G2" s="22"/>
    </row>
    <row r="3" ht="17.55" spans="1:7">
      <c r="A3" s="3"/>
      <c r="B3" s="3"/>
      <c r="C3" s="3"/>
      <c r="D3" s="3"/>
      <c r="E3" s="3"/>
      <c r="F3" s="3"/>
      <c r="G3" s="3"/>
    </row>
    <row r="4" spans="1:7">
      <c r="A4" s="23" t="s">
        <v>619</v>
      </c>
      <c r="B4" s="24"/>
      <c r="C4" s="25"/>
      <c r="D4" s="3"/>
      <c r="E4" s="26" t="s">
        <v>620</v>
      </c>
      <c r="F4" s="27"/>
      <c r="G4" s="28"/>
    </row>
    <row r="5" spans="1:7">
      <c r="A5" s="29">
        <f>SUM(G12:G20)</f>
        <v>0</v>
      </c>
      <c r="B5" s="30"/>
      <c r="C5" s="31"/>
      <c r="D5" s="3"/>
      <c r="E5" s="32" t="str">
        <f>IF(A5&gt;=85,"Tốt",IF(A5&gt;=70,"Đạt",IF(A5&gt;=50,"Cần bổ sung","Chưa đạt")))</f>
        <v>Chưa đạt</v>
      </c>
      <c r="F5" s="33"/>
      <c r="G5" s="34"/>
    </row>
    <row r="6" spans="1:7">
      <c r="A6" s="35"/>
      <c r="B6" s="36"/>
      <c r="C6" s="37"/>
      <c r="D6" s="3"/>
      <c r="E6" s="38"/>
      <c r="F6" s="39"/>
      <c r="G6" s="40"/>
    </row>
    <row r="7" spans="1:7">
      <c r="A7" s="3"/>
      <c r="B7" s="3"/>
      <c r="C7" s="3"/>
      <c r="D7" s="3"/>
      <c r="E7" s="3"/>
      <c r="F7" s="3"/>
      <c r="G7" s="3"/>
    </row>
    <row r="8" ht="28" customHeight="1" spans="1:7">
      <c r="A8" s="41" t="s">
        <v>621</v>
      </c>
      <c r="B8" s="41"/>
      <c r="C8" s="41"/>
      <c r="D8" s="41"/>
      <c r="E8" s="41"/>
      <c r="F8" s="41"/>
      <c r="G8" s="41"/>
    </row>
    <row r="9" ht="38" customHeight="1" spans="1:7">
      <c r="A9" s="42" t="s">
        <v>622</v>
      </c>
      <c r="B9" s="43"/>
      <c r="C9" s="43"/>
      <c r="D9" s="43"/>
      <c r="E9" s="43"/>
      <c r="F9" s="43"/>
      <c r="G9" s="44"/>
    </row>
    <row r="10" spans="1:7">
      <c r="A10" s="3"/>
      <c r="B10" s="3"/>
      <c r="C10" s="3"/>
      <c r="D10" s="3"/>
      <c r="E10" s="3"/>
      <c r="F10" s="3"/>
      <c r="G10" s="3"/>
    </row>
    <row r="11" spans="1:7">
      <c r="A11" s="9" t="s">
        <v>623</v>
      </c>
      <c r="B11" s="9" t="s">
        <v>624</v>
      </c>
      <c r="C11" s="9" t="s">
        <v>625</v>
      </c>
      <c r="D11" s="9" t="s">
        <v>626</v>
      </c>
      <c r="E11" s="9" t="s">
        <v>627</v>
      </c>
      <c r="F11" s="9" t="s">
        <v>628</v>
      </c>
      <c r="G11" s="9" t="s">
        <v>629</v>
      </c>
    </row>
    <row r="12" ht="68" customHeight="1" spans="1:7">
      <c r="A12" s="10" t="s">
        <v>630</v>
      </c>
      <c r="B12" s="45">
        <v>20</v>
      </c>
      <c r="C12" s="10" t="s">
        <v>631</v>
      </c>
      <c r="D12" s="10" t="s">
        <v>632</v>
      </c>
      <c r="E12" s="46"/>
      <c r="F12" s="46" t="s">
        <v>48</v>
      </c>
      <c r="G12" s="47">
        <f t="shared" ref="G12:G20" si="0">IF(E12="",0,B12*E12/4)</f>
        <v>0</v>
      </c>
    </row>
    <row r="13" ht="68" customHeight="1" spans="1:7">
      <c r="A13" s="14" t="s">
        <v>633</v>
      </c>
      <c r="B13" s="48">
        <v>10</v>
      </c>
      <c r="C13" s="14" t="s">
        <v>634</v>
      </c>
      <c r="D13" s="14" t="s">
        <v>635</v>
      </c>
      <c r="E13" s="49"/>
      <c r="F13" s="49" t="s">
        <v>48</v>
      </c>
      <c r="G13" s="50">
        <f t="shared" si="0"/>
        <v>0</v>
      </c>
    </row>
    <row r="14" ht="68" customHeight="1" spans="1:7">
      <c r="A14" s="14" t="s">
        <v>636</v>
      </c>
      <c r="B14" s="48">
        <v>15</v>
      </c>
      <c r="C14" s="14" t="s">
        <v>637</v>
      </c>
      <c r="D14" s="14" t="s">
        <v>638</v>
      </c>
      <c r="E14" s="49"/>
      <c r="F14" s="49" t="s">
        <v>48</v>
      </c>
      <c r="G14" s="50">
        <f t="shared" si="0"/>
        <v>0</v>
      </c>
    </row>
    <row r="15" ht="68" customHeight="1" spans="1:7">
      <c r="A15" s="14" t="s">
        <v>639</v>
      </c>
      <c r="B15" s="48">
        <v>12</v>
      </c>
      <c r="C15" s="14" t="s">
        <v>640</v>
      </c>
      <c r="D15" s="14" t="s">
        <v>641</v>
      </c>
      <c r="E15" s="49"/>
      <c r="F15" s="49" t="s">
        <v>48</v>
      </c>
      <c r="G15" s="50">
        <f t="shared" si="0"/>
        <v>0</v>
      </c>
    </row>
    <row r="16" ht="68" customHeight="1" spans="1:7">
      <c r="A16" s="14" t="s">
        <v>642</v>
      </c>
      <c r="B16" s="48">
        <v>10</v>
      </c>
      <c r="C16" s="14" t="s">
        <v>643</v>
      </c>
      <c r="D16" s="14" t="s">
        <v>644</v>
      </c>
      <c r="E16" s="49"/>
      <c r="F16" s="49" t="s">
        <v>48</v>
      </c>
      <c r="G16" s="50">
        <f t="shared" si="0"/>
        <v>0</v>
      </c>
    </row>
    <row r="17" ht="68" customHeight="1" spans="1:7">
      <c r="A17" s="14" t="s">
        <v>645</v>
      </c>
      <c r="B17" s="48">
        <v>8</v>
      </c>
      <c r="C17" s="14" t="s">
        <v>646</v>
      </c>
      <c r="D17" s="14" t="s">
        <v>647</v>
      </c>
      <c r="E17" s="49"/>
      <c r="F17" s="49" t="s">
        <v>48</v>
      </c>
      <c r="G17" s="50">
        <f t="shared" si="0"/>
        <v>0</v>
      </c>
    </row>
    <row r="18" ht="68" customHeight="1" spans="1:7">
      <c r="A18" s="14" t="s">
        <v>593</v>
      </c>
      <c r="B18" s="48">
        <v>10</v>
      </c>
      <c r="C18" s="14" t="s">
        <v>648</v>
      </c>
      <c r="D18" s="14" t="s">
        <v>649</v>
      </c>
      <c r="E18" s="49"/>
      <c r="F18" s="49" t="s">
        <v>48</v>
      </c>
      <c r="G18" s="50">
        <f t="shared" si="0"/>
        <v>0</v>
      </c>
    </row>
    <row r="19" ht="68" customHeight="1" spans="1:7">
      <c r="A19" s="14" t="s">
        <v>650</v>
      </c>
      <c r="B19" s="48">
        <v>10</v>
      </c>
      <c r="C19" s="14" t="s">
        <v>651</v>
      </c>
      <c r="D19" s="14" t="s">
        <v>652</v>
      </c>
      <c r="E19" s="49"/>
      <c r="F19" s="49" t="s">
        <v>48</v>
      </c>
      <c r="G19" s="50">
        <f t="shared" si="0"/>
        <v>0</v>
      </c>
    </row>
    <row r="20" ht="68" customHeight="1" spans="1:7">
      <c r="A20" s="18" t="s">
        <v>653</v>
      </c>
      <c r="B20" s="51">
        <v>5</v>
      </c>
      <c r="C20" s="18" t="s">
        <v>654</v>
      </c>
      <c r="D20" s="18" t="s">
        <v>655</v>
      </c>
      <c r="E20" s="52"/>
      <c r="F20" s="52" t="s">
        <v>48</v>
      </c>
      <c r="G20" s="53">
        <f t="shared" si="0"/>
        <v>0</v>
      </c>
    </row>
    <row r="21" spans="1:7">
      <c r="A21" s="3"/>
      <c r="B21" s="3"/>
      <c r="C21" s="3"/>
      <c r="D21" s="3"/>
      <c r="E21" s="3"/>
      <c r="F21" s="3"/>
      <c r="G21" s="3"/>
    </row>
    <row r="22" spans="1:7">
      <c r="A22" s="54" t="s">
        <v>656</v>
      </c>
      <c r="B22" s="54" t="s">
        <v>657</v>
      </c>
      <c r="C22" s="54">
        <f>SUM(B12:B20)</f>
        <v>100</v>
      </c>
      <c r="D22" s="54">
        <f>SUM(B12:B20)</f>
        <v>100</v>
      </c>
      <c r="E22" s="3"/>
      <c r="F22" s="3"/>
      <c r="G22" s="3"/>
    </row>
  </sheetData>
  <mergeCells count="8">
    <mergeCell ref="A1:G1"/>
    <mergeCell ref="A2:G2"/>
    <mergeCell ref="A4:C4"/>
    <mergeCell ref="E4:G4"/>
    <mergeCell ref="A8:G8"/>
    <mergeCell ref="A9:G9"/>
    <mergeCell ref="A5:C6"/>
    <mergeCell ref="E5:G6"/>
  </mergeCells>
  <conditionalFormatting sqref="E12:E20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dataValidations count="1">
    <dataValidation type="whole" operator="between" sqref="E12:E20">
      <formula1>1</formula1>
      <formula2>4</formula2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showGridLines="0" workbookViewId="0">
      <selection activeCell="A1" sqref="A1:F1"/>
    </sheetView>
  </sheetViews>
  <sheetFormatPr defaultColWidth="9" defaultRowHeight="16.8" outlineLevelCol="5"/>
  <cols>
    <col min="1" max="1" width="14" customWidth="1"/>
    <col min="2" max="2" width="26" customWidth="1"/>
    <col min="3" max="3" width="44" customWidth="1"/>
    <col min="4" max="4" width="40" customWidth="1"/>
    <col min="5" max="5" width="32" customWidth="1"/>
    <col min="6" max="6" width="44" customWidth="1"/>
  </cols>
  <sheetData>
    <row r="1" ht="40" customHeight="1" spans="1:6">
      <c r="A1" s="1" t="s">
        <v>658</v>
      </c>
      <c r="B1" s="1"/>
      <c r="C1" s="1"/>
      <c r="D1" s="1"/>
      <c r="E1" s="1"/>
      <c r="F1" s="1"/>
    </row>
    <row r="2" ht="30" customHeight="1" spans="1:6">
      <c r="A2" s="2" t="s">
        <v>659</v>
      </c>
      <c r="B2" s="2"/>
      <c r="C2" s="2"/>
      <c r="D2" s="2"/>
      <c r="E2" s="2"/>
      <c r="F2" s="2"/>
    </row>
    <row r="3" spans="1:6">
      <c r="A3" s="3"/>
      <c r="B3" s="3"/>
      <c r="C3" s="3"/>
      <c r="D3" s="3"/>
      <c r="E3" s="3"/>
      <c r="F3" s="3"/>
    </row>
    <row r="4" spans="1:6">
      <c r="A4" s="4" t="s">
        <v>660</v>
      </c>
      <c r="B4" s="4"/>
      <c r="C4" s="4" t="s">
        <v>661</v>
      </c>
      <c r="D4" s="4"/>
      <c r="E4" s="4" t="s">
        <v>662</v>
      </c>
      <c r="F4" s="4"/>
    </row>
    <row r="5" spans="1:6">
      <c r="A5" s="5" t="s">
        <v>663</v>
      </c>
      <c r="B5" s="6"/>
      <c r="C5" s="5" t="s">
        <v>664</v>
      </c>
      <c r="D5" s="6"/>
      <c r="E5" s="5" t="s">
        <v>665</v>
      </c>
      <c r="F5" s="6"/>
    </row>
    <row r="6" spans="1:6">
      <c r="A6" s="7"/>
      <c r="B6" s="8"/>
      <c r="C6" s="7"/>
      <c r="D6" s="8"/>
      <c r="E6" s="7"/>
      <c r="F6" s="8"/>
    </row>
    <row r="7" spans="1:6">
      <c r="A7" s="3"/>
      <c r="B7" s="3"/>
      <c r="C7" s="3"/>
      <c r="D7" s="3"/>
      <c r="E7" s="3"/>
      <c r="F7" s="3"/>
    </row>
    <row r="8" spans="1:6">
      <c r="A8" s="9" t="s">
        <v>483</v>
      </c>
      <c r="B8" s="9" t="s">
        <v>666</v>
      </c>
      <c r="C8" s="9" t="s">
        <v>667</v>
      </c>
      <c r="D8" s="9" t="s">
        <v>668</v>
      </c>
      <c r="E8" s="9" t="s">
        <v>669</v>
      </c>
      <c r="F8" s="9" t="s">
        <v>670</v>
      </c>
    </row>
    <row r="9" ht="58" customHeight="1" spans="1:6">
      <c r="A9" s="10" t="s">
        <v>671</v>
      </c>
      <c r="B9" s="10" t="s">
        <v>672</v>
      </c>
      <c r="C9" s="11" t="s">
        <v>673</v>
      </c>
      <c r="D9" s="10" t="s">
        <v>674</v>
      </c>
      <c r="E9" s="12" t="s">
        <v>675</v>
      </c>
      <c r="F9" s="13" t="s">
        <v>243</v>
      </c>
    </row>
    <row r="10" ht="58" customHeight="1" spans="1:6">
      <c r="A10" s="14" t="s">
        <v>676</v>
      </c>
      <c r="B10" s="14" t="s">
        <v>677</v>
      </c>
      <c r="C10" s="15" t="s">
        <v>678</v>
      </c>
      <c r="D10" s="14" t="s">
        <v>679</v>
      </c>
      <c r="E10" s="16" t="s">
        <v>680</v>
      </c>
      <c r="F10" s="17" t="s">
        <v>681</v>
      </c>
    </row>
    <row r="11" ht="58" customHeight="1" spans="1:6">
      <c r="A11" s="14" t="s">
        <v>682</v>
      </c>
      <c r="B11" s="14" t="s">
        <v>683</v>
      </c>
      <c r="C11" s="15" t="s">
        <v>684</v>
      </c>
      <c r="D11" s="14" t="s">
        <v>685</v>
      </c>
      <c r="E11" s="16" t="s">
        <v>686</v>
      </c>
      <c r="F11" s="17" t="s">
        <v>224</v>
      </c>
    </row>
    <row r="12" ht="58" customHeight="1" spans="1:6">
      <c r="A12" s="14" t="s">
        <v>514</v>
      </c>
      <c r="B12" s="14" t="s">
        <v>687</v>
      </c>
      <c r="C12" s="15" t="s">
        <v>688</v>
      </c>
      <c r="D12" s="14" t="s">
        <v>689</v>
      </c>
      <c r="E12" s="16" t="s">
        <v>690</v>
      </c>
      <c r="F12" s="17" t="s">
        <v>691</v>
      </c>
    </row>
    <row r="13" ht="58" customHeight="1" spans="1:6">
      <c r="A13" s="14" t="s">
        <v>508</v>
      </c>
      <c r="B13" s="14" t="s">
        <v>692</v>
      </c>
      <c r="C13" s="15" t="s">
        <v>693</v>
      </c>
      <c r="D13" s="14" t="s">
        <v>694</v>
      </c>
      <c r="E13" s="16" t="s">
        <v>695</v>
      </c>
      <c r="F13" s="17" t="s">
        <v>696</v>
      </c>
    </row>
    <row r="14" ht="58" customHeight="1" spans="1:6">
      <c r="A14" s="14" t="s">
        <v>532</v>
      </c>
      <c r="B14" s="14" t="s">
        <v>697</v>
      </c>
      <c r="C14" s="15" t="s">
        <v>698</v>
      </c>
      <c r="D14" s="14" t="s">
        <v>699</v>
      </c>
      <c r="E14" s="16" t="s">
        <v>700</v>
      </c>
      <c r="F14" s="17" t="s">
        <v>701</v>
      </c>
    </row>
    <row r="15" ht="58" customHeight="1" spans="1:6">
      <c r="A15" s="14" t="s">
        <v>537</v>
      </c>
      <c r="B15" s="14" t="s">
        <v>702</v>
      </c>
      <c r="C15" s="15" t="s">
        <v>703</v>
      </c>
      <c r="D15" s="14" t="s">
        <v>704</v>
      </c>
      <c r="E15" s="16" t="s">
        <v>705</v>
      </c>
      <c r="F15" s="17" t="s">
        <v>706</v>
      </c>
    </row>
    <row r="16" ht="58" customHeight="1" spans="1:6">
      <c r="A16" s="14" t="s">
        <v>707</v>
      </c>
      <c r="B16" s="14" t="s">
        <v>708</v>
      </c>
      <c r="C16" s="15" t="s">
        <v>709</v>
      </c>
      <c r="D16" s="14" t="s">
        <v>710</v>
      </c>
      <c r="E16" s="16" t="s">
        <v>711</v>
      </c>
      <c r="F16" s="17" t="s">
        <v>292</v>
      </c>
    </row>
    <row r="17" ht="58" customHeight="1" spans="1:6">
      <c r="A17" s="14" t="s">
        <v>540</v>
      </c>
      <c r="B17" s="14" t="s">
        <v>712</v>
      </c>
      <c r="C17" s="15" t="s">
        <v>713</v>
      </c>
      <c r="D17" s="14" t="s">
        <v>714</v>
      </c>
      <c r="E17" s="16" t="s">
        <v>715</v>
      </c>
      <c r="F17" s="17" t="s">
        <v>716</v>
      </c>
    </row>
    <row r="18" ht="58" customHeight="1" spans="1:6">
      <c r="A18" s="14" t="s">
        <v>522</v>
      </c>
      <c r="B18" s="14" t="s">
        <v>717</v>
      </c>
      <c r="C18" s="15" t="s">
        <v>718</v>
      </c>
      <c r="D18" s="14" t="s">
        <v>719</v>
      </c>
      <c r="E18" s="16" t="s">
        <v>720</v>
      </c>
      <c r="F18" s="17" t="s">
        <v>721</v>
      </c>
    </row>
    <row r="19" ht="58" customHeight="1" spans="1:6">
      <c r="A19" s="14" t="s">
        <v>525</v>
      </c>
      <c r="B19" s="14" t="s">
        <v>722</v>
      </c>
      <c r="C19" s="15" t="s">
        <v>723</v>
      </c>
      <c r="D19" s="14" t="s">
        <v>724</v>
      </c>
      <c r="E19" s="16" t="s">
        <v>725</v>
      </c>
      <c r="F19" s="17" t="s">
        <v>726</v>
      </c>
    </row>
    <row r="20" ht="58" customHeight="1" spans="1:6">
      <c r="A20" s="14" t="s">
        <v>727</v>
      </c>
      <c r="B20" s="14" t="s">
        <v>728</v>
      </c>
      <c r="C20" s="15" t="s">
        <v>729</v>
      </c>
      <c r="D20" s="14" t="s">
        <v>730</v>
      </c>
      <c r="E20" s="16" t="s">
        <v>731</v>
      </c>
      <c r="F20" s="17" t="s">
        <v>273</v>
      </c>
    </row>
    <row r="21" ht="58" customHeight="1" spans="1:6">
      <c r="A21" s="14" t="s">
        <v>550</v>
      </c>
      <c r="B21" s="14" t="s">
        <v>732</v>
      </c>
      <c r="C21" s="15" t="s">
        <v>733</v>
      </c>
      <c r="D21" s="14" t="s">
        <v>734</v>
      </c>
      <c r="E21" s="16" t="s">
        <v>735</v>
      </c>
      <c r="F21" s="17" t="s">
        <v>736</v>
      </c>
    </row>
    <row r="22" ht="58" customHeight="1" spans="1:6">
      <c r="A22" s="14" t="s">
        <v>550</v>
      </c>
      <c r="B22" s="14" t="s">
        <v>737</v>
      </c>
      <c r="C22" s="15" t="s">
        <v>738</v>
      </c>
      <c r="D22" s="14" t="s">
        <v>739</v>
      </c>
      <c r="E22" s="16" t="s">
        <v>740</v>
      </c>
      <c r="F22" s="17" t="s">
        <v>741</v>
      </c>
    </row>
    <row r="23" ht="58" customHeight="1" spans="1:6">
      <c r="A23" s="14" t="s">
        <v>550</v>
      </c>
      <c r="B23" s="14" t="s">
        <v>742</v>
      </c>
      <c r="C23" s="15" t="s">
        <v>743</v>
      </c>
      <c r="D23" s="14" t="s">
        <v>744</v>
      </c>
      <c r="E23" s="16" t="s">
        <v>745</v>
      </c>
      <c r="F23" s="17" t="s">
        <v>746</v>
      </c>
    </row>
    <row r="24" ht="58" customHeight="1" spans="1:6">
      <c r="A24" s="14" t="s">
        <v>550</v>
      </c>
      <c r="B24" s="14" t="s">
        <v>747</v>
      </c>
      <c r="C24" s="15" t="s">
        <v>748</v>
      </c>
      <c r="D24" s="14" t="s">
        <v>749</v>
      </c>
      <c r="E24" s="16" t="s">
        <v>750</v>
      </c>
      <c r="F24" s="17" t="s">
        <v>439</v>
      </c>
    </row>
    <row r="25" ht="58" customHeight="1" spans="1:6">
      <c r="A25" s="14" t="s">
        <v>550</v>
      </c>
      <c r="B25" s="14" t="s">
        <v>751</v>
      </c>
      <c r="C25" s="15" t="s">
        <v>752</v>
      </c>
      <c r="D25" s="14" t="s">
        <v>753</v>
      </c>
      <c r="E25" s="16" t="s">
        <v>754</v>
      </c>
      <c r="F25" s="17" t="s">
        <v>449</v>
      </c>
    </row>
    <row r="26" ht="58" customHeight="1" spans="1:6">
      <c r="A26" s="14" t="s">
        <v>550</v>
      </c>
      <c r="B26" s="14" t="s">
        <v>755</v>
      </c>
      <c r="C26" s="15" t="s">
        <v>756</v>
      </c>
      <c r="D26" s="14" t="s">
        <v>757</v>
      </c>
      <c r="E26" s="16" t="s">
        <v>758</v>
      </c>
      <c r="F26" s="17" t="s">
        <v>467</v>
      </c>
    </row>
    <row r="27" ht="58" customHeight="1" spans="1:6">
      <c r="A27" s="14" t="s">
        <v>550</v>
      </c>
      <c r="B27" s="14" t="s">
        <v>759</v>
      </c>
      <c r="C27" s="15" t="s">
        <v>760</v>
      </c>
      <c r="D27" s="14" t="s">
        <v>761</v>
      </c>
      <c r="E27" s="16" t="s">
        <v>762</v>
      </c>
      <c r="F27" s="17" t="s">
        <v>763</v>
      </c>
    </row>
    <row r="28" ht="58" customHeight="1" spans="1:6">
      <c r="A28" s="14" t="s">
        <v>550</v>
      </c>
      <c r="B28" s="14" t="s">
        <v>764</v>
      </c>
      <c r="C28" s="15" t="s">
        <v>765</v>
      </c>
      <c r="D28" s="14" t="s">
        <v>766</v>
      </c>
      <c r="E28" s="16" t="s">
        <v>767</v>
      </c>
      <c r="F28" s="17" t="s">
        <v>467</v>
      </c>
    </row>
    <row r="29" ht="58" customHeight="1" spans="1:6">
      <c r="A29" s="14" t="s">
        <v>550</v>
      </c>
      <c r="B29" s="14" t="s">
        <v>768</v>
      </c>
      <c r="C29" s="15" t="s">
        <v>769</v>
      </c>
      <c r="D29" s="14" t="s">
        <v>770</v>
      </c>
      <c r="E29" s="16" t="s">
        <v>771</v>
      </c>
      <c r="F29" s="17" t="s">
        <v>476</v>
      </c>
    </row>
    <row r="30" ht="58" customHeight="1" spans="1:6">
      <c r="A30" s="14" t="s">
        <v>550</v>
      </c>
      <c r="B30" s="14" t="s">
        <v>772</v>
      </c>
      <c r="C30" s="15" t="s">
        <v>773</v>
      </c>
      <c r="D30" s="14" t="s">
        <v>774</v>
      </c>
      <c r="E30" s="16" t="s">
        <v>775</v>
      </c>
      <c r="F30" s="17" t="s">
        <v>776</v>
      </c>
    </row>
    <row r="31" ht="58" customHeight="1" spans="1:6">
      <c r="A31" s="14" t="s">
        <v>579</v>
      </c>
      <c r="B31" s="14" t="s">
        <v>777</v>
      </c>
      <c r="C31" s="15" t="s">
        <v>778</v>
      </c>
      <c r="D31" s="14" t="s">
        <v>779</v>
      </c>
      <c r="E31" s="16" t="s">
        <v>780</v>
      </c>
      <c r="F31" s="17" t="s">
        <v>331</v>
      </c>
    </row>
    <row r="32" ht="58" customHeight="1" spans="1:6">
      <c r="A32" s="14" t="s">
        <v>585</v>
      </c>
      <c r="B32" s="14" t="s">
        <v>781</v>
      </c>
      <c r="C32" s="15" t="s">
        <v>782</v>
      </c>
      <c r="D32" s="14" t="s">
        <v>783</v>
      </c>
      <c r="E32" s="16" t="s">
        <v>784</v>
      </c>
      <c r="F32" s="17" t="s">
        <v>350</v>
      </c>
    </row>
    <row r="33" ht="58" customHeight="1" spans="1:6">
      <c r="A33" s="14" t="s">
        <v>593</v>
      </c>
      <c r="B33" s="14" t="s">
        <v>785</v>
      </c>
      <c r="C33" s="15" t="s">
        <v>786</v>
      </c>
      <c r="D33" s="14" t="s">
        <v>787</v>
      </c>
      <c r="E33" s="16" t="s">
        <v>788</v>
      </c>
      <c r="F33" s="17" t="s">
        <v>789</v>
      </c>
    </row>
    <row r="34" ht="58" customHeight="1" spans="1:6">
      <c r="A34" s="14" t="s">
        <v>593</v>
      </c>
      <c r="B34" s="14" t="s">
        <v>790</v>
      </c>
      <c r="C34" s="15" t="s">
        <v>791</v>
      </c>
      <c r="D34" s="14" t="s">
        <v>792</v>
      </c>
      <c r="E34" s="16" t="s">
        <v>793</v>
      </c>
      <c r="F34" s="17" t="s">
        <v>794</v>
      </c>
    </row>
    <row r="35" ht="58" customHeight="1" spans="1:6">
      <c r="A35" s="14" t="s">
        <v>589</v>
      </c>
      <c r="B35" s="14" t="s">
        <v>795</v>
      </c>
      <c r="C35" s="15" t="s">
        <v>796</v>
      </c>
      <c r="D35" s="14" t="s">
        <v>797</v>
      </c>
      <c r="E35" s="16" t="s">
        <v>798</v>
      </c>
      <c r="F35" s="17" t="s">
        <v>799</v>
      </c>
    </row>
    <row r="36" ht="58" customHeight="1" spans="1:6">
      <c r="A36" s="14" t="s">
        <v>596</v>
      </c>
      <c r="B36" s="14" t="s">
        <v>800</v>
      </c>
      <c r="C36" s="15" t="s">
        <v>801</v>
      </c>
      <c r="D36" s="14" t="s">
        <v>802</v>
      </c>
      <c r="E36" s="16" t="s">
        <v>803</v>
      </c>
      <c r="F36" s="17" t="s">
        <v>804</v>
      </c>
    </row>
    <row r="37" ht="58" customHeight="1" spans="1:6">
      <c r="A37" s="14" t="s">
        <v>600</v>
      </c>
      <c r="B37" s="14" t="s">
        <v>805</v>
      </c>
      <c r="C37" s="15" t="s">
        <v>806</v>
      </c>
      <c r="D37" s="14" t="s">
        <v>807</v>
      </c>
      <c r="E37" s="16" t="s">
        <v>808</v>
      </c>
      <c r="F37" s="17" t="s">
        <v>809</v>
      </c>
    </row>
    <row r="38" ht="58" customHeight="1" spans="1:6">
      <c r="A38" s="18" t="s">
        <v>520</v>
      </c>
      <c r="B38" s="18" t="s">
        <v>810</v>
      </c>
      <c r="C38" s="19" t="s">
        <v>811</v>
      </c>
      <c r="D38" s="18" t="s">
        <v>812</v>
      </c>
      <c r="E38" s="20" t="s">
        <v>813</v>
      </c>
      <c r="F38" s="21" t="s">
        <v>814</v>
      </c>
    </row>
  </sheetData>
  <mergeCells count="8">
    <mergeCell ref="A1:F1"/>
    <mergeCell ref="A2:F2"/>
    <mergeCell ref="A4:B4"/>
    <mergeCell ref="C4:D4"/>
    <mergeCell ref="E4:F4"/>
    <mergeCell ref="A5:B6"/>
    <mergeCell ref="C5:D6"/>
    <mergeCell ref="E5:F6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BẮT ĐẦU</vt:lpstr>
      <vt:lpstr>TIẾN ĐỘ 32 BUỔI</vt:lpstr>
      <vt:lpstr>01 JS NỀN TẢNG</vt:lpstr>
      <vt:lpstr>02 JS TRÌNH DUYỆT</vt:lpstr>
      <vt:lpstr>04 REACT ỨNG DỤNG</vt:lpstr>
      <vt:lpstr>03 REACT NỀN TẢNG</vt:lpstr>
      <vt:lpstr>NĂNG LỰC</vt:lpstr>
      <vt:lpstr>ĐÁNH GIÁ</vt:lpstr>
      <vt:lpstr>TỰ 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2026-08-26T15:09:36Z</dcterms:created>
  <dcterms:modified xsi:type="dcterms:W3CDTF">2026-08-26T15:11:46Z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E8F0A7F0072412FEC29F8E6AA5136D9F_42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